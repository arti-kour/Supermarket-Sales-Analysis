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4EEB688B-9B70-4084-96B3-F3CCA1EB2796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Raw Data" sheetId="1" r:id="rId1"/>
    <sheet name="Data Checks" sheetId="2" r:id="rId2"/>
    <sheet name="Sales Analysis" sheetId="3" r:id="rId3"/>
    <sheet name="Branch Analysis" sheetId="4" r:id="rId4"/>
    <sheet name="Product Analysis" sheetId="5" r:id="rId5"/>
    <sheet name="Payment analysis" sheetId="6" r:id="rId6"/>
    <sheet name="Customer analysis" sheetId="8" r:id="rId7"/>
    <sheet name="Data Analysis" sheetId="9" r:id="rId8"/>
  </sheets>
  <definedNames>
    <definedName name="_xlnm._FilterDatabase" localSheetId="0" hidden="1">'Raw Data'!$A$1:$Q$1001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R991" i="1"/>
  <c r="R992" i="1"/>
  <c r="R993" i="1"/>
  <c r="R994" i="1"/>
  <c r="R995" i="1"/>
  <c r="R996" i="1"/>
  <c r="R997" i="1"/>
  <c r="R998" i="1"/>
  <c r="R999" i="1"/>
  <c r="R1000" i="1"/>
  <c r="R1001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33" i="1"/>
  <c r="R34" i="1"/>
  <c r="R35" i="1"/>
  <c r="R36" i="1"/>
  <c r="R37" i="1"/>
  <c r="R38" i="1"/>
  <c r="R39" i="1"/>
  <c r="R40" i="1"/>
  <c r="R41" i="1"/>
  <c r="R42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2" i="1"/>
  <c r="B6" i="2"/>
  <c r="C5" i="6"/>
  <c r="C6" i="6"/>
  <c r="C4" i="6"/>
  <c r="O5" i="4"/>
  <c r="B7" i="3"/>
  <c r="B6" i="3"/>
  <c r="B5" i="3"/>
  <c r="B4" i="3"/>
  <c r="B3" i="3"/>
  <c r="B3" i="2" a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<sst xmlns="http://schemas.openxmlformats.org/spreadsheetml/2006/main" count="9086" uniqueCount="1295">
  <si>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</si>
  <si>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</si>
  <si>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</si>
  <si>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</si>
  <si>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</si>
  <si>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</si>
  <si>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</si>
  <si>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</si>
  <si>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</si>
  <si>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</si>
  <si>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</si>
  <si>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</si>
  <si>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</si>
  <si>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</si>
  <si>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</si>
  <si>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</si>
  <si>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</si>
  <si>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C189-0001</t>
  </si>
  <si>
    <t>C</t>
  </si>
  <si>
    <t>Naypyitaw</t>
  </si>
  <si>
    <t>Member</t>
  </si>
  <si>
    <t>Female</t>
  </si>
  <si>
    <t>Fashion accessories</t>
  </si>
  <si>
    <t>01/18/2019</t>
  </si>
  <si>
    <t>11:50</t>
  </si>
  <si>
    <t>Ewallet</t>
  </si>
  <si>
    <t>C765-0002</t>
  </si>
  <si>
    <t>Normal</t>
  </si>
  <si>
    <t>Health and beauty</t>
  </si>
  <si>
    <t>03/06/2019</t>
  </si>
  <si>
    <t>19:00</t>
  </si>
  <si>
    <t>C881-0003</t>
  </si>
  <si>
    <t>Sports and travel</t>
  </si>
  <si>
    <t>01/21/2019</t>
  </si>
  <si>
    <t>16:25</t>
  </si>
  <si>
    <t>Credit card</t>
  </si>
  <si>
    <t>B227-0004</t>
  </si>
  <si>
    <t>B</t>
  </si>
  <si>
    <t>Mandalay</t>
  </si>
  <si>
    <t>03/19/2019</t>
  </si>
  <si>
    <t>14:00</t>
  </si>
  <si>
    <t>B333-0005</t>
  </si>
  <si>
    <t>Male</t>
  </si>
  <si>
    <t>03/15/2019</t>
  </si>
  <si>
    <t>13:55</t>
  </si>
  <si>
    <t>Cash</t>
  </si>
  <si>
    <t>B786-0006</t>
  </si>
  <si>
    <t>03/23/2019</t>
  </si>
  <si>
    <t>15:10</t>
  </si>
  <si>
    <t>B324-0007</t>
  </si>
  <si>
    <t>Food and beverages</t>
  </si>
  <si>
    <t>03/01/2019</t>
  </si>
  <si>
    <t>16:20</t>
  </si>
  <si>
    <t>C680-0008</t>
  </si>
  <si>
    <t>Electronic accessories</t>
  </si>
  <si>
    <t>02/21/2019</t>
  </si>
  <si>
    <t>14:05</t>
  </si>
  <si>
    <t>C651-0009</t>
  </si>
  <si>
    <t>01/19/2019</t>
  </si>
  <si>
    <t>14:10</t>
  </si>
  <si>
    <t>B256-0010</t>
  </si>
  <si>
    <t>Home and lifestyle</t>
  </si>
  <si>
    <t>03/07/2019</t>
  </si>
  <si>
    <t>17:05</t>
  </si>
  <si>
    <t>C981-0011</t>
  </si>
  <si>
    <t>03/18/2019</t>
  </si>
  <si>
    <t>17:40</t>
  </si>
  <si>
    <t>A996-0012</t>
  </si>
  <si>
    <t>A</t>
  </si>
  <si>
    <t>Yangon</t>
  </si>
  <si>
    <t>02/25/2019</t>
  </si>
  <si>
    <t>12:35</t>
  </si>
  <si>
    <t>C880-0013</t>
  </si>
  <si>
    <t>18:45</t>
  </si>
  <si>
    <t>A180-0014</t>
  </si>
  <si>
    <t>02/09/2019</t>
  </si>
  <si>
    <t>13:00</t>
  </si>
  <si>
    <t>A993-0015</t>
  </si>
  <si>
    <t>03/26/2019</t>
  </si>
  <si>
    <t>C629-0016</t>
  </si>
  <si>
    <t>16:50</t>
  </si>
  <si>
    <t>B172-0017</t>
  </si>
  <si>
    <t>03/17/2019</t>
  </si>
  <si>
    <t>18:15</t>
  </si>
  <si>
    <t>C319-0018</t>
  </si>
  <si>
    <t>01/10/2019</t>
  </si>
  <si>
    <t>C533-0019</t>
  </si>
  <si>
    <t>01/25/2019</t>
  </si>
  <si>
    <t>11:05</t>
  </si>
  <si>
    <t>B211-0020</t>
  </si>
  <si>
    <t>01/08/2019</t>
  </si>
  <si>
    <t>16:55</t>
  </si>
  <si>
    <t>A177-0021</t>
  </si>
  <si>
    <t>01/24/2019</t>
  </si>
  <si>
    <t>14:35</t>
  </si>
  <si>
    <t>B318-0022</t>
  </si>
  <si>
    <t>01/12/2019</t>
  </si>
  <si>
    <t>13:10</t>
  </si>
  <si>
    <t>B848-0023</t>
  </si>
  <si>
    <t>02/03/2019</t>
  </si>
  <si>
    <t>17:20</t>
  </si>
  <si>
    <t>C151-0024</t>
  </si>
  <si>
    <t>03/16/2019</t>
  </si>
  <si>
    <t>18:00</t>
  </si>
  <si>
    <t>C340-0025</t>
  </si>
  <si>
    <t>11:45</t>
  </si>
  <si>
    <t>B423-0026</t>
  </si>
  <si>
    <t>01/11/2019</t>
  </si>
  <si>
    <t>B869-0027</t>
  </si>
  <si>
    <t>03/27/2019</t>
  </si>
  <si>
    <t>20:20</t>
  </si>
  <si>
    <t>A457-0028</t>
  </si>
  <si>
    <t>A936-0029</t>
  </si>
  <si>
    <t>02/08/2019</t>
  </si>
  <si>
    <t>19:50</t>
  </si>
  <si>
    <t>C834-0030</t>
  </si>
  <si>
    <t>03/12/2019</t>
  </si>
  <si>
    <t>12:20</t>
  </si>
  <si>
    <t>B441-0031</t>
  </si>
  <si>
    <t>20:30</t>
  </si>
  <si>
    <t>A807-0032</t>
  </si>
  <si>
    <t>03/13/2019</t>
  </si>
  <si>
    <t>10:05</t>
  </si>
  <si>
    <t>A915-0033</t>
  </si>
  <si>
    <t>01/17/2019</t>
  </si>
  <si>
    <t>10:20</t>
  </si>
  <si>
    <t>A342-0034</t>
  </si>
  <si>
    <t>02/15/2019</t>
  </si>
  <si>
    <t>18:30</t>
  </si>
  <si>
    <t>A906-0035</t>
  </si>
  <si>
    <t>02/22/2019</t>
  </si>
  <si>
    <t>20:55</t>
  </si>
  <si>
    <t>C992-0036</t>
  </si>
  <si>
    <t>01/26/2019</t>
  </si>
  <si>
    <t>17:25</t>
  </si>
  <si>
    <t>A509-0037</t>
  </si>
  <si>
    <t>02/05/2019</t>
  </si>
  <si>
    <t>11:20</t>
  </si>
  <si>
    <t>C544-0038</t>
  </si>
  <si>
    <t>01/23/2019</t>
  </si>
  <si>
    <t>19:20</t>
  </si>
  <si>
    <t>B546-0039</t>
  </si>
  <si>
    <t>02/19/2019</t>
  </si>
  <si>
    <t>19:15</t>
  </si>
  <si>
    <t>A407-0040</t>
  </si>
  <si>
    <t>03/21/2019</t>
  </si>
  <si>
    <t>15:50</t>
  </si>
  <si>
    <t>C488-0041</t>
  </si>
  <si>
    <t>12:15</t>
  </si>
  <si>
    <t>C721-0042</t>
  </si>
  <si>
    <t>14:15</t>
  </si>
  <si>
    <t>C390-0043</t>
  </si>
  <si>
    <t>17:55</t>
  </si>
  <si>
    <t>C586-0044</t>
  </si>
  <si>
    <t>12:00</t>
  </si>
  <si>
    <t>C771-0045</t>
  </si>
  <si>
    <t>16:35</t>
  </si>
  <si>
    <t>C224-0046</t>
  </si>
  <si>
    <t>10:40</t>
  </si>
  <si>
    <t>B616-0047</t>
  </si>
  <si>
    <t>15:35</t>
  </si>
  <si>
    <t>B633-0048</t>
  </si>
  <si>
    <t>13:50</t>
  </si>
  <si>
    <t>B182-0049</t>
  </si>
  <si>
    <t>01/31/2019</t>
  </si>
  <si>
    <t>14:25</t>
  </si>
  <si>
    <t>A525-0050</t>
  </si>
  <si>
    <t>01/09/2019</t>
  </si>
  <si>
    <t>16:30</t>
  </si>
  <si>
    <t>A460-0051</t>
  </si>
  <si>
    <t>01/03/2019</t>
  </si>
  <si>
    <t>19:30</t>
  </si>
  <si>
    <t>B597-0052</t>
  </si>
  <si>
    <t>13:35</t>
  </si>
  <si>
    <t>A503-0053</t>
  </si>
  <si>
    <t>01/22/2019</t>
  </si>
  <si>
    <t>17:10</t>
  </si>
  <si>
    <t>C565-0054</t>
  </si>
  <si>
    <t>B153-0055</t>
  </si>
  <si>
    <t>02/02/2019</t>
  </si>
  <si>
    <t>11:35</t>
  </si>
  <si>
    <t>B229-0056</t>
  </si>
  <si>
    <t>02/01/2019</t>
  </si>
  <si>
    <t>B896-0057</t>
  </si>
  <si>
    <t>19:45</t>
  </si>
  <si>
    <t>A303-0058</t>
  </si>
  <si>
    <t>A777-0059</t>
  </si>
  <si>
    <t>01/16/2019</t>
  </si>
  <si>
    <t>B570-0060</t>
  </si>
  <si>
    <t>01/14/2019</t>
  </si>
  <si>
    <t>C848-0061</t>
  </si>
  <si>
    <t>03/20/2019</t>
  </si>
  <si>
    <t>18:35</t>
  </si>
  <si>
    <t>C784-0062</t>
  </si>
  <si>
    <t>17:15</t>
  </si>
  <si>
    <t>B710-0063</t>
  </si>
  <si>
    <t>03/04/2019</t>
  </si>
  <si>
    <t>13:25</t>
  </si>
  <si>
    <t>C807-0064</t>
  </si>
  <si>
    <t>B584-0065</t>
  </si>
  <si>
    <t>13:20</t>
  </si>
  <si>
    <t>C838-0066</t>
  </si>
  <si>
    <t>02/28/2019</t>
  </si>
  <si>
    <t>14:20</t>
  </si>
  <si>
    <t>A703-0067</t>
  </si>
  <si>
    <t>C380-0068</t>
  </si>
  <si>
    <t>A551-0069</t>
  </si>
  <si>
    <t>10:45</t>
  </si>
  <si>
    <t>B744-0070</t>
  </si>
  <si>
    <t>01/15/2019</t>
  </si>
  <si>
    <t>11:30</t>
  </si>
  <si>
    <t>C720-0071</t>
  </si>
  <si>
    <t>13:05</t>
  </si>
  <si>
    <t>C724-0072</t>
  </si>
  <si>
    <t>C102-0073</t>
  </si>
  <si>
    <t>B370-0074</t>
  </si>
  <si>
    <t>02/06/2019</t>
  </si>
  <si>
    <t>C414-0075</t>
  </si>
  <si>
    <t>02/04/2019</t>
  </si>
  <si>
    <t>12:05</t>
  </si>
  <si>
    <t>C182-0076</t>
  </si>
  <si>
    <t>14:40</t>
  </si>
  <si>
    <t>C689-0077</t>
  </si>
  <si>
    <t>01/04/2019</t>
  </si>
  <si>
    <t>11:15</t>
  </si>
  <si>
    <t>C285-0078</t>
  </si>
  <si>
    <t>03/02/2019</t>
  </si>
  <si>
    <t>18:50</t>
  </si>
  <si>
    <t>C437-0079</t>
  </si>
  <si>
    <t>02/12/2019</t>
  </si>
  <si>
    <t>B218-0080</t>
  </si>
  <si>
    <t>01/05/2019</t>
  </si>
  <si>
    <t>B152-0081</t>
  </si>
  <si>
    <t>02/16/2019</t>
  </si>
  <si>
    <t>19:35</t>
  </si>
  <si>
    <t>A826-0082</t>
  </si>
  <si>
    <t>10:50</t>
  </si>
  <si>
    <t>A610-0083</t>
  </si>
  <si>
    <t>C713-0084</t>
  </si>
  <si>
    <t>C405-0085</t>
  </si>
  <si>
    <t>02/13/2019</t>
  </si>
  <si>
    <t>18:20</t>
  </si>
  <si>
    <t>C429-0086</t>
  </si>
  <si>
    <t>18:40</t>
  </si>
  <si>
    <t>A930-0087</t>
  </si>
  <si>
    <t>01/06/2019</t>
  </si>
  <si>
    <t>15:55</t>
  </si>
  <si>
    <t>B550-0088</t>
  </si>
  <si>
    <t>19:25</t>
  </si>
  <si>
    <t>A507-0089</t>
  </si>
  <si>
    <t>C136-0090</t>
  </si>
  <si>
    <t>02/10/2019</t>
  </si>
  <si>
    <t>C820-0091</t>
  </si>
  <si>
    <t>01/30/2019</t>
  </si>
  <si>
    <t>A541-0092</t>
  </si>
  <si>
    <t>15:00</t>
  </si>
  <si>
    <t>A734-0093</t>
  </si>
  <si>
    <t>C923-0094</t>
  </si>
  <si>
    <t>B567-0095</t>
  </si>
  <si>
    <t>14:50</t>
  </si>
  <si>
    <t>B402-0096</t>
  </si>
  <si>
    <t>15:45</t>
  </si>
  <si>
    <t>A460-0097</t>
  </si>
  <si>
    <t>A907-0098</t>
  </si>
  <si>
    <t>03/22/2019</t>
  </si>
  <si>
    <t>B652-0099</t>
  </si>
  <si>
    <t>02/11/2019</t>
  </si>
  <si>
    <t>16:10</t>
  </si>
  <si>
    <t>B244-0100</t>
  </si>
  <si>
    <t>02/07/2019</t>
  </si>
  <si>
    <t>15:05</t>
  </si>
  <si>
    <t>A866-0101</t>
  </si>
  <si>
    <t>18:05</t>
  </si>
  <si>
    <t>C674-0102</t>
  </si>
  <si>
    <t>03/28/2019</t>
  </si>
  <si>
    <t>B138-0103</t>
  </si>
  <si>
    <t>03/25/2019</t>
  </si>
  <si>
    <t>16:05</t>
  </si>
  <si>
    <t>B860-0104</t>
  </si>
  <si>
    <t>C322-0105</t>
  </si>
  <si>
    <t>B294-0106</t>
  </si>
  <si>
    <t>03/11/2019</t>
  </si>
  <si>
    <t>20:25</t>
  </si>
  <si>
    <t>A905-0107</t>
  </si>
  <si>
    <t>10:25</t>
  </si>
  <si>
    <t>C979-0108</t>
  </si>
  <si>
    <t>A116-0109</t>
  </si>
  <si>
    <t>A625-0110</t>
  </si>
  <si>
    <t>C131-0111</t>
  </si>
  <si>
    <t>20:40</t>
  </si>
  <si>
    <t>A167-0112</t>
  </si>
  <si>
    <t>02/26/2019</t>
  </si>
  <si>
    <t>A912-0113</t>
  </si>
  <si>
    <t>C197-0114</t>
  </si>
  <si>
    <t>B195-0115</t>
  </si>
  <si>
    <t>03/29/2019</t>
  </si>
  <si>
    <t>B462-0116</t>
  </si>
  <si>
    <t>18:25</t>
  </si>
  <si>
    <t>C593-0117</t>
  </si>
  <si>
    <t>19:40</t>
  </si>
  <si>
    <t>A938-0118</t>
  </si>
  <si>
    <t>13:30</t>
  </si>
  <si>
    <t>C679-0119</t>
  </si>
  <si>
    <t>C449-0120</t>
  </si>
  <si>
    <t>A732-0121</t>
  </si>
  <si>
    <t>11:00</t>
  </si>
  <si>
    <t>A624-0122</t>
  </si>
  <si>
    <t>17:30</t>
  </si>
  <si>
    <t>A504-0123</t>
  </si>
  <si>
    <t>C609-0124</t>
  </si>
  <si>
    <t>C982-0125</t>
  </si>
  <si>
    <t>C755-0126</t>
  </si>
  <si>
    <t>B190-0127</t>
  </si>
  <si>
    <t>B441-0128</t>
  </si>
  <si>
    <t>A362-0129</t>
  </si>
  <si>
    <t>02/14/2019</t>
  </si>
  <si>
    <t>20:10</t>
  </si>
  <si>
    <t>A678-0130</t>
  </si>
  <si>
    <t>C460-0131</t>
  </si>
  <si>
    <t>C975-0132</t>
  </si>
  <si>
    <t>02/17/2019</t>
  </si>
  <si>
    <t>A587-0133</t>
  </si>
  <si>
    <t>02/27/2019</t>
  </si>
  <si>
    <t>C824-0134</t>
  </si>
  <si>
    <t>B908-0135</t>
  </si>
  <si>
    <t>C717-0136</t>
  </si>
  <si>
    <t>14:55</t>
  </si>
  <si>
    <t>A709-0137</t>
  </si>
  <si>
    <t>C639-0138</t>
  </si>
  <si>
    <t>A240-0139</t>
  </si>
  <si>
    <t>01/28/2019</t>
  </si>
  <si>
    <t>A732-0140</t>
  </si>
  <si>
    <t>03/09/2019</t>
  </si>
  <si>
    <t>A836-0141</t>
  </si>
  <si>
    <t>17:00</t>
  </si>
  <si>
    <t>A298-0142</t>
  </si>
  <si>
    <t>03/10/2019</t>
  </si>
  <si>
    <t>B241-0143</t>
  </si>
  <si>
    <t>B379-0144</t>
  </si>
  <si>
    <t>03/08/2019</t>
  </si>
  <si>
    <t>B614-0145</t>
  </si>
  <si>
    <t>B249-0146</t>
  </si>
  <si>
    <t>11:55</t>
  </si>
  <si>
    <t>A119-0147</t>
  </si>
  <si>
    <t>17:45</t>
  </si>
  <si>
    <t>B224-0148</t>
  </si>
  <si>
    <t>A747-0149</t>
  </si>
  <si>
    <t>C784-0150</t>
  </si>
  <si>
    <t>13:45</t>
  </si>
  <si>
    <t>A496-0151</t>
  </si>
  <si>
    <t>10:30</t>
  </si>
  <si>
    <t>B852-0152</t>
  </si>
  <si>
    <t>20:50</t>
  </si>
  <si>
    <t>B930-0153</t>
  </si>
  <si>
    <t>A934-0154</t>
  </si>
  <si>
    <t>C227-0155</t>
  </si>
  <si>
    <t>B916-0156</t>
  </si>
  <si>
    <t>C181-0157</t>
  </si>
  <si>
    <t>12:40</t>
  </si>
  <si>
    <t>B990-0158</t>
  </si>
  <si>
    <t>B920-0159</t>
  </si>
  <si>
    <t>C475-0160</t>
  </si>
  <si>
    <t>B642-0161</t>
  </si>
  <si>
    <t>B675-0162</t>
  </si>
  <si>
    <t>A175-0163</t>
  </si>
  <si>
    <t>B397-0164</t>
  </si>
  <si>
    <t>B667-0165</t>
  </si>
  <si>
    <t>C638-0166</t>
  </si>
  <si>
    <t>14:30</t>
  </si>
  <si>
    <t>B999-0167</t>
  </si>
  <si>
    <t>17:50</t>
  </si>
  <si>
    <t>C430-0168</t>
  </si>
  <si>
    <t>18:10</t>
  </si>
  <si>
    <t>C740-0169</t>
  </si>
  <si>
    <t>B445-0170</t>
  </si>
  <si>
    <t>20:45</t>
  </si>
  <si>
    <t>C754-0171</t>
  </si>
  <si>
    <t>20:15</t>
  </si>
  <si>
    <t>A805-0172</t>
  </si>
  <si>
    <t>A426-0173</t>
  </si>
  <si>
    <t>19:10</t>
  </si>
  <si>
    <t>C373-0174</t>
  </si>
  <si>
    <t>11:25</t>
  </si>
  <si>
    <t>B691-0175</t>
  </si>
  <si>
    <t>16:15</t>
  </si>
  <si>
    <t>C502-0176</t>
  </si>
  <si>
    <t>C769-0177</t>
  </si>
  <si>
    <t>01/07/2019</t>
  </si>
  <si>
    <t>C512-0178</t>
  </si>
  <si>
    <t>B561-0179</t>
  </si>
  <si>
    <t>C303-0180</t>
  </si>
  <si>
    <t>15:40</t>
  </si>
  <si>
    <t>C627-0181</t>
  </si>
  <si>
    <t>A645-0182</t>
  </si>
  <si>
    <t>B744-0183</t>
  </si>
  <si>
    <t>02/23/2019</t>
  </si>
  <si>
    <t>A274-0184</t>
  </si>
  <si>
    <t>C255-0185</t>
  </si>
  <si>
    <t>B778-0186</t>
  </si>
  <si>
    <t>B838-0187</t>
  </si>
  <si>
    <t>C821-0188</t>
  </si>
  <si>
    <t>A504-0189</t>
  </si>
  <si>
    <t>B319-0190</t>
  </si>
  <si>
    <t>A331-0191</t>
  </si>
  <si>
    <t>C261-0192</t>
  </si>
  <si>
    <t>01/13/2019</t>
  </si>
  <si>
    <t>B191-0193</t>
  </si>
  <si>
    <t>C993-0194</t>
  </si>
  <si>
    <t>B605-0195</t>
  </si>
  <si>
    <t>A114-0196</t>
  </si>
  <si>
    <t>C627-0197</t>
  </si>
  <si>
    <t>B341-0198</t>
  </si>
  <si>
    <t>03/03/2019</t>
  </si>
  <si>
    <t>15:15</t>
  </si>
  <si>
    <t>B163-0199</t>
  </si>
  <si>
    <t>01/02/2019</t>
  </si>
  <si>
    <t>C326-0200</t>
  </si>
  <si>
    <t>A875-0201</t>
  </si>
  <si>
    <t>C677-0202</t>
  </si>
  <si>
    <t>A834-0203</t>
  </si>
  <si>
    <t>C159-0204</t>
  </si>
  <si>
    <t>C452-0205</t>
  </si>
  <si>
    <t>01/01/2019</t>
  </si>
  <si>
    <t>C884-0206</t>
  </si>
  <si>
    <t>C236-0207</t>
  </si>
  <si>
    <t>02/18/2019</t>
  </si>
  <si>
    <t>C874-0208</t>
  </si>
  <si>
    <t>12:55</t>
  </si>
  <si>
    <t>A258-0209</t>
  </si>
  <si>
    <t>B708-0210</t>
  </si>
  <si>
    <t>10:15</t>
  </si>
  <si>
    <t>A894-0211</t>
  </si>
  <si>
    <t>13:40</t>
  </si>
  <si>
    <t>A342-0212</t>
  </si>
  <si>
    <t>B537-0213</t>
  </si>
  <si>
    <t>19:55</t>
  </si>
  <si>
    <t>C407-0214</t>
  </si>
  <si>
    <t>B526-0215</t>
  </si>
  <si>
    <t>C841-0216</t>
  </si>
  <si>
    <t>03/24/2019</t>
  </si>
  <si>
    <t>A672-0217</t>
  </si>
  <si>
    <t>A872-0218</t>
  </si>
  <si>
    <t>B467-0219</t>
  </si>
  <si>
    <t>B523-0220</t>
  </si>
  <si>
    <t>A335-0221</t>
  </si>
  <si>
    <t>B571-0222</t>
  </si>
  <si>
    <t>A959-0223</t>
  </si>
  <si>
    <t>A482-0224</t>
  </si>
  <si>
    <t>A648-0225</t>
  </si>
  <si>
    <t>10:00</t>
  </si>
  <si>
    <t>B358-0226</t>
  </si>
  <si>
    <t>B800-0227</t>
  </si>
  <si>
    <t>A184-0228</t>
  </si>
  <si>
    <t>B808-0229</t>
  </si>
  <si>
    <t>C970-0230</t>
  </si>
  <si>
    <t>B954-0231</t>
  </si>
  <si>
    <t>B958-0232</t>
  </si>
  <si>
    <t>A484-0233</t>
  </si>
  <si>
    <t>B828-0234</t>
  </si>
  <si>
    <t>C204-0235</t>
  </si>
  <si>
    <t>A667-0236</t>
  </si>
  <si>
    <t>A801-0237</t>
  </si>
  <si>
    <t>B406-0238</t>
  </si>
  <si>
    <t>11:10</t>
  </si>
  <si>
    <t>B411-0239</t>
  </si>
  <si>
    <t>A239-0240</t>
  </si>
  <si>
    <t>15:30</t>
  </si>
  <si>
    <t>B689-0241</t>
  </si>
  <si>
    <t>A658-0242</t>
  </si>
  <si>
    <t>A748-0243</t>
  </si>
  <si>
    <t>03/30/2019</t>
  </si>
  <si>
    <t>B510-0244</t>
  </si>
  <si>
    <t>C773-0245</t>
  </si>
  <si>
    <t>20:05</t>
  </si>
  <si>
    <t>C439-0246</t>
  </si>
  <si>
    <t>B556-0247</t>
  </si>
  <si>
    <t>B525-0248</t>
  </si>
  <si>
    <t>01/20/2019</t>
  </si>
  <si>
    <t>A548-0249</t>
  </si>
  <si>
    <t>01/27/2019</t>
  </si>
  <si>
    <t>C268-0250</t>
  </si>
  <si>
    <t>C290-0251</t>
  </si>
  <si>
    <t>02/24/2019</t>
  </si>
  <si>
    <t>C319-0252</t>
  </si>
  <si>
    <t>A368-0253</t>
  </si>
  <si>
    <t>15:25</t>
  </si>
  <si>
    <t>C732-0254</t>
  </si>
  <si>
    <t>A244-0255</t>
  </si>
  <si>
    <t>C760-0256</t>
  </si>
  <si>
    <t>A596-0257</t>
  </si>
  <si>
    <t>A554-0258</t>
  </si>
  <si>
    <t>20:35</t>
  </si>
  <si>
    <t>B272-0259</t>
  </si>
  <si>
    <t>B323-0260</t>
  </si>
  <si>
    <t>B220-0261</t>
  </si>
  <si>
    <t>A924-0262</t>
  </si>
  <si>
    <t>A626-0263</t>
  </si>
  <si>
    <t>14:45</t>
  </si>
  <si>
    <t>C828-0264</t>
  </si>
  <si>
    <t>B913-0265</t>
  </si>
  <si>
    <t>A892-0266</t>
  </si>
  <si>
    <t>C944-0267</t>
  </si>
  <si>
    <t>A907-0268</t>
  </si>
  <si>
    <t>B538-0269</t>
  </si>
  <si>
    <t>A780-0270</t>
  </si>
  <si>
    <t>C318-0271</t>
  </si>
  <si>
    <t>B980-0272</t>
  </si>
  <si>
    <t>10:55</t>
  </si>
  <si>
    <t>B240-0273</t>
  </si>
  <si>
    <t>B318-0274</t>
  </si>
  <si>
    <t>C493-0275</t>
  </si>
  <si>
    <t>B391-0276</t>
  </si>
  <si>
    <t>C912-0277</t>
  </si>
  <si>
    <t>A235-0278</t>
  </si>
  <si>
    <t>B320-0279</t>
  </si>
  <si>
    <t>A649-0280</t>
  </si>
  <si>
    <t>C749-0281</t>
  </si>
  <si>
    <t>C726-0282</t>
  </si>
  <si>
    <t>C267-0283</t>
  </si>
  <si>
    <t>B165-0284</t>
  </si>
  <si>
    <t>B891-0285</t>
  </si>
  <si>
    <t>03/05/2019</t>
  </si>
  <si>
    <t>A253-0286</t>
  </si>
  <si>
    <t>A614-0287</t>
  </si>
  <si>
    <t>C418-0288</t>
  </si>
  <si>
    <t>B477-0289</t>
  </si>
  <si>
    <t>03/14/2019</t>
  </si>
  <si>
    <t>C454-0290</t>
  </si>
  <si>
    <t>C529-0291</t>
  </si>
  <si>
    <t>B569-0292</t>
  </si>
  <si>
    <t>C233-0293</t>
  </si>
  <si>
    <t>A307-0294</t>
  </si>
  <si>
    <t>A888-0295</t>
  </si>
  <si>
    <t>A813-0296</t>
  </si>
  <si>
    <t>12:50</t>
  </si>
  <si>
    <t>C366-0297</t>
  </si>
  <si>
    <t>16:40</t>
  </si>
  <si>
    <t>A243-0298</t>
  </si>
  <si>
    <t>A700-0299</t>
  </si>
  <si>
    <t>B572-0300</t>
  </si>
  <si>
    <t>A291-0301</t>
  </si>
  <si>
    <t>B663-0302</t>
  </si>
  <si>
    <t>B921-0303</t>
  </si>
  <si>
    <t>C376-0304</t>
  </si>
  <si>
    <t>A338-0305</t>
  </si>
  <si>
    <t>A959-0306</t>
  </si>
  <si>
    <t>A681-0307</t>
  </si>
  <si>
    <t>C324-0308</t>
  </si>
  <si>
    <t>A964-0309</t>
  </si>
  <si>
    <t>B778-0310</t>
  </si>
  <si>
    <t>B824-0311</t>
  </si>
  <si>
    <t>C281-0312</t>
  </si>
  <si>
    <t>C608-0313</t>
  </si>
  <si>
    <t>A846-0314</t>
  </si>
  <si>
    <t>B495-0315</t>
  </si>
  <si>
    <t>B907-0316</t>
  </si>
  <si>
    <t>C175-0317</t>
  </si>
  <si>
    <t>B821-0318</t>
  </si>
  <si>
    <t>A519-0319</t>
  </si>
  <si>
    <t>C469-0320</t>
  </si>
  <si>
    <t>02/20/2019</t>
  </si>
  <si>
    <t>A753-0321</t>
  </si>
  <si>
    <t>B657-0322</t>
  </si>
  <si>
    <t>B957-0323</t>
  </si>
  <si>
    <t>B703-0324</t>
  </si>
  <si>
    <t>A180-0325</t>
  </si>
  <si>
    <t>B533-0326</t>
  </si>
  <si>
    <t>A669-0327</t>
  </si>
  <si>
    <t>B253-0328</t>
  </si>
  <si>
    <t>A597-0329</t>
  </si>
  <si>
    <t>C505-0330</t>
  </si>
  <si>
    <t>B963-0331</t>
  </si>
  <si>
    <t>B191-0332</t>
  </si>
  <si>
    <t>A826-0333</t>
  </si>
  <si>
    <t>C567-0334</t>
  </si>
  <si>
    <t>13:15</t>
  </si>
  <si>
    <t>A347-0335</t>
  </si>
  <si>
    <t>B364-0336</t>
  </si>
  <si>
    <t>C311-0337</t>
  </si>
  <si>
    <t>B722-0338</t>
  </si>
  <si>
    <t>12:45</t>
  </si>
  <si>
    <t>B944-0339</t>
  </si>
  <si>
    <t>C800-0340</t>
  </si>
  <si>
    <t>A767-0341</t>
  </si>
  <si>
    <t>B838-0342</t>
  </si>
  <si>
    <t>A935-0343</t>
  </si>
  <si>
    <t>A960-0344</t>
  </si>
  <si>
    <t>C327-0345</t>
  </si>
  <si>
    <t>B220-0346</t>
  </si>
  <si>
    <t>B155-0347</t>
  </si>
  <si>
    <t>A182-0348</t>
  </si>
  <si>
    <t>12:25</t>
  </si>
  <si>
    <t>B262-0349</t>
  </si>
  <si>
    <t>B646-0350</t>
  </si>
  <si>
    <t>A354-0351</t>
  </si>
  <si>
    <t>A405-0352</t>
  </si>
  <si>
    <t>B931-0353</t>
  </si>
  <si>
    <t>B475-0354</t>
  </si>
  <si>
    <t>C769-0355</t>
  </si>
  <si>
    <t>A811-0356</t>
  </si>
  <si>
    <t>C950-0357</t>
  </si>
  <si>
    <t>A306-0358</t>
  </si>
  <si>
    <t>B787-0359</t>
  </si>
  <si>
    <t>A403-0360</t>
  </si>
  <si>
    <t>B218-0361</t>
  </si>
  <si>
    <t>A850-0362</t>
  </si>
  <si>
    <t>A919-0363</t>
  </si>
  <si>
    <t>B682-0364</t>
  </si>
  <si>
    <t>C233-0365</t>
  </si>
  <si>
    <t>B794-0366</t>
  </si>
  <si>
    <t>C454-0367</t>
  </si>
  <si>
    <t>C580-0368</t>
  </si>
  <si>
    <t>B487-0369</t>
  </si>
  <si>
    <t>B609-0370</t>
  </si>
  <si>
    <t>C752-0371</t>
  </si>
  <si>
    <t>B714-0372</t>
  </si>
  <si>
    <t>01/29/2019</t>
  </si>
  <si>
    <t>B398-0373</t>
  </si>
  <si>
    <t>C292-0374</t>
  </si>
  <si>
    <t>A957-0375</t>
  </si>
  <si>
    <t>C666-0376</t>
  </si>
  <si>
    <t>B429-0377</t>
  </si>
  <si>
    <t>C236-0378</t>
  </si>
  <si>
    <t>A831-0379</t>
  </si>
  <si>
    <t>B218-0380</t>
  </si>
  <si>
    <t>18:55</t>
  </si>
  <si>
    <t>B490-0381</t>
  </si>
  <si>
    <t>16:00</t>
  </si>
  <si>
    <t>A807-0382</t>
  </si>
  <si>
    <t>B860-0383</t>
  </si>
  <si>
    <t>C907-0384</t>
  </si>
  <si>
    <t>20:00</t>
  </si>
  <si>
    <t>C763-0385</t>
  </si>
  <si>
    <t>B141-0386</t>
  </si>
  <si>
    <t>B140-0387</t>
  </si>
  <si>
    <t>A824-0388</t>
  </si>
  <si>
    <t>B457-0389</t>
  </si>
  <si>
    <t>A764-0390</t>
  </si>
  <si>
    <t>A490-0391</t>
  </si>
  <si>
    <t>A144-0392</t>
  </si>
  <si>
    <t>B315-0393</t>
  </si>
  <si>
    <t>C570-0394</t>
  </si>
  <si>
    <t>C364-0395</t>
  </si>
  <si>
    <t>B756-0396</t>
  </si>
  <si>
    <t>C188-0397</t>
  </si>
  <si>
    <t>B500-0398</t>
  </si>
  <si>
    <t>C105-0399</t>
  </si>
  <si>
    <t>C288-0400</t>
  </si>
  <si>
    <t>A397-0401</t>
  </si>
  <si>
    <t>C340-0402</t>
  </si>
  <si>
    <t>A256-0403</t>
  </si>
  <si>
    <t>C383-0404</t>
  </si>
  <si>
    <t>B721-0405</t>
  </si>
  <si>
    <t>A695-0406</t>
  </si>
  <si>
    <t>C328-0407</t>
  </si>
  <si>
    <t>C968-0408</t>
  </si>
  <si>
    <t>C467-0409</t>
  </si>
  <si>
    <t>A910-0410</t>
  </si>
  <si>
    <t>B748-0411</t>
  </si>
  <si>
    <t>B328-0412</t>
  </si>
  <si>
    <t>C335-0413</t>
  </si>
  <si>
    <t>A438-0414</t>
  </si>
  <si>
    <t>C144-0415</t>
  </si>
  <si>
    <t>A629-0416</t>
  </si>
  <si>
    <t>10:10</t>
  </si>
  <si>
    <t>B715-0417</t>
  </si>
  <si>
    <t>A494-0418</t>
  </si>
  <si>
    <t>A587-0419</t>
  </si>
  <si>
    <t>C634-0420</t>
  </si>
  <si>
    <t>B879-0421</t>
  </si>
  <si>
    <t>C293-0422</t>
  </si>
  <si>
    <t>A536-0423</t>
  </si>
  <si>
    <t>C523-0424</t>
  </si>
  <si>
    <t>C507-0425</t>
  </si>
  <si>
    <t>C920-0426</t>
  </si>
  <si>
    <t>C165-0427</t>
  </si>
  <si>
    <t>B711-0428</t>
  </si>
  <si>
    <t>A815-0429</t>
  </si>
  <si>
    <t>A504-0430</t>
  </si>
  <si>
    <t>B456-0431</t>
  </si>
  <si>
    <t>B618-0432</t>
  </si>
  <si>
    <t>A486-0433</t>
  </si>
  <si>
    <t>C364-0434</t>
  </si>
  <si>
    <t>A952-0435</t>
  </si>
  <si>
    <t>B323-0436</t>
  </si>
  <si>
    <t>C371-0437</t>
  </si>
  <si>
    <t>A779-0438</t>
  </si>
  <si>
    <t>B882-0439</t>
  </si>
  <si>
    <t>C133-0440</t>
  </si>
  <si>
    <t>C112-0441</t>
  </si>
  <si>
    <t>C375-0442</t>
  </si>
  <si>
    <t>B284-0443</t>
  </si>
  <si>
    <t>C856-0444</t>
  </si>
  <si>
    <t>A598-0445</t>
  </si>
  <si>
    <t>B198-0446</t>
  </si>
  <si>
    <t>B988-0447</t>
  </si>
  <si>
    <t>C574-0448</t>
  </si>
  <si>
    <t>C173-0449</t>
  </si>
  <si>
    <t>A555-0450</t>
  </si>
  <si>
    <t>B817-0451</t>
  </si>
  <si>
    <t>C506-0452</t>
  </si>
  <si>
    <t>C390-0453</t>
  </si>
  <si>
    <t>B578-0454</t>
  </si>
  <si>
    <t>C751-0455</t>
  </si>
  <si>
    <t>C259-0456</t>
  </si>
  <si>
    <t>B603-0457</t>
  </si>
  <si>
    <t>B674-0458</t>
  </si>
  <si>
    <t>B345-0459</t>
  </si>
  <si>
    <t>C213-0460</t>
  </si>
  <si>
    <t>C647-0461</t>
  </si>
  <si>
    <t>A322-0462</t>
  </si>
  <si>
    <t>B894-0463</t>
  </si>
  <si>
    <t>B889-0464</t>
  </si>
  <si>
    <t>B419-0465</t>
  </si>
  <si>
    <t>B469-0466</t>
  </si>
  <si>
    <t>A908-0467</t>
  </si>
  <si>
    <t>A354-0468</t>
  </si>
  <si>
    <t>A910-0469</t>
  </si>
  <si>
    <t>A805-0470</t>
  </si>
  <si>
    <t>B294-0471</t>
  </si>
  <si>
    <t>C560-0472</t>
  </si>
  <si>
    <t>B894-0473</t>
  </si>
  <si>
    <t>C664-0474</t>
  </si>
  <si>
    <t>A232-0475</t>
  </si>
  <si>
    <t>A638-0476</t>
  </si>
  <si>
    <t>C952-0477</t>
  </si>
  <si>
    <t>A851-0478</t>
  </si>
  <si>
    <t>A638-0479</t>
  </si>
  <si>
    <t>C819-0480</t>
  </si>
  <si>
    <t>C714-0481</t>
  </si>
  <si>
    <t>B431-0482</t>
  </si>
  <si>
    <t>C135-0483</t>
  </si>
  <si>
    <t>17:35</t>
  </si>
  <si>
    <t>B666-0484</t>
  </si>
  <si>
    <t>C362-0485</t>
  </si>
  <si>
    <t>B806-0486</t>
  </si>
  <si>
    <t>C936-0487</t>
  </si>
  <si>
    <t>B636-0488</t>
  </si>
  <si>
    <t>A556-0489</t>
  </si>
  <si>
    <t>C863-0490</t>
  </si>
  <si>
    <t>A504-0491</t>
  </si>
  <si>
    <t>C523-0492</t>
  </si>
  <si>
    <t>B731-0493</t>
  </si>
  <si>
    <t>B973-0494</t>
  </si>
  <si>
    <t>A412-0495</t>
  </si>
  <si>
    <t>B661-0496</t>
  </si>
  <si>
    <t>B908-0497</t>
  </si>
  <si>
    <t>C775-0498</t>
  </si>
  <si>
    <t>B423-0499</t>
  </si>
  <si>
    <t>B412-0500</t>
  </si>
  <si>
    <t>B613-0501</t>
  </si>
  <si>
    <t>B502-0502</t>
  </si>
  <si>
    <t>C256-0503</t>
  </si>
  <si>
    <t>B307-0504</t>
  </si>
  <si>
    <t>A645-0505</t>
  </si>
  <si>
    <t>C863-0506</t>
  </si>
  <si>
    <t>C727-0507</t>
  </si>
  <si>
    <t>A580-0508</t>
  </si>
  <si>
    <t>C115-0509</t>
  </si>
  <si>
    <t>B601-0510</t>
  </si>
  <si>
    <t>C860-0511</t>
  </si>
  <si>
    <t>C140-0512</t>
  </si>
  <si>
    <t>C727-0513</t>
  </si>
  <si>
    <t>A502-0514</t>
  </si>
  <si>
    <t>B764-0515</t>
  </si>
  <si>
    <t>C844-0516</t>
  </si>
  <si>
    <t>C248-0517</t>
  </si>
  <si>
    <t>A307-0518</t>
  </si>
  <si>
    <t>A702-0519</t>
  </si>
  <si>
    <t>C743-0520</t>
  </si>
  <si>
    <t>C717-0521</t>
  </si>
  <si>
    <t>B816-0522</t>
  </si>
  <si>
    <t>C939-0523</t>
  </si>
  <si>
    <t>A314-0524</t>
  </si>
  <si>
    <t>C907-0525</t>
  </si>
  <si>
    <t>C729-0526</t>
  </si>
  <si>
    <t>C576-0527</t>
  </si>
  <si>
    <t>C317-0528</t>
  </si>
  <si>
    <t>A216-0529</t>
  </si>
  <si>
    <t>C788-0530</t>
  </si>
  <si>
    <t>B933-0531</t>
  </si>
  <si>
    <t>B439-0532</t>
  </si>
  <si>
    <t>B498-0533</t>
  </si>
  <si>
    <t>A480-0534</t>
  </si>
  <si>
    <t>B125-0535</t>
  </si>
  <si>
    <t>B628-0536</t>
  </si>
  <si>
    <t>C803-0537</t>
  </si>
  <si>
    <t>C876-0538</t>
  </si>
  <si>
    <t>B252-0539</t>
  </si>
  <si>
    <t>A426-0540</t>
  </si>
  <si>
    <t>B233-0541</t>
  </si>
  <si>
    <t>A706-0542</t>
  </si>
  <si>
    <t>C195-0543</t>
  </si>
  <si>
    <t>C731-0544</t>
  </si>
  <si>
    <t>B215-0545</t>
  </si>
  <si>
    <t>B937-0546</t>
  </si>
  <si>
    <t>C735-0547</t>
  </si>
  <si>
    <t>A450-0548</t>
  </si>
  <si>
    <t>C668-0549</t>
  </si>
  <si>
    <t>A488-0550</t>
  </si>
  <si>
    <t>B563-0551</t>
  </si>
  <si>
    <t>C795-0552</t>
  </si>
  <si>
    <t>B662-0553</t>
  </si>
  <si>
    <t>A425-0554</t>
  </si>
  <si>
    <t>C493-0555</t>
  </si>
  <si>
    <t>B838-0556</t>
  </si>
  <si>
    <t>B621-0557</t>
  </si>
  <si>
    <t>B342-0558</t>
  </si>
  <si>
    <t>C694-0559</t>
  </si>
  <si>
    <t>B190-0560</t>
  </si>
  <si>
    <t>A111-0561</t>
  </si>
  <si>
    <t>B711-0562</t>
  </si>
  <si>
    <t>C928-0563</t>
  </si>
  <si>
    <t>C381-0564</t>
  </si>
  <si>
    <t>B367-0565</t>
  </si>
  <si>
    <t>C257-0566</t>
  </si>
  <si>
    <t>B370-0567</t>
  </si>
  <si>
    <t>A499-0568</t>
  </si>
  <si>
    <t>B642-0569</t>
  </si>
  <si>
    <t>C921-0570</t>
  </si>
  <si>
    <t>A806-0571</t>
  </si>
  <si>
    <t>A556-0572</t>
  </si>
  <si>
    <t>B955-0573</t>
  </si>
  <si>
    <t>A289-0574</t>
  </si>
  <si>
    <t>A783-0575</t>
  </si>
  <si>
    <t>B932-0576</t>
  </si>
  <si>
    <t>B247-0577</t>
  </si>
  <si>
    <t>C845-0578</t>
  </si>
  <si>
    <t>B437-0579</t>
  </si>
  <si>
    <t>B937-0580</t>
  </si>
  <si>
    <t>B973-0581</t>
  </si>
  <si>
    <t>B812-0582</t>
  </si>
  <si>
    <t>B707-0583</t>
  </si>
  <si>
    <t>A157-0584</t>
  </si>
  <si>
    <t>B338-0585</t>
  </si>
  <si>
    <t>A114-0586</t>
  </si>
  <si>
    <t>A918-0587</t>
  </si>
  <si>
    <t>C429-0588</t>
  </si>
  <si>
    <t>A268-0589</t>
  </si>
  <si>
    <t>B107-0590</t>
  </si>
  <si>
    <t>A635-0591</t>
  </si>
  <si>
    <t>B190-0592</t>
  </si>
  <si>
    <t>C983-0593</t>
  </si>
  <si>
    <t>11:40</t>
  </si>
  <si>
    <t>C585-0594</t>
  </si>
  <si>
    <t>B442-0595</t>
  </si>
  <si>
    <t>15:20</t>
  </si>
  <si>
    <t>C172-0596</t>
  </si>
  <si>
    <t>A855-0597</t>
  </si>
  <si>
    <t>B724-0598</t>
  </si>
  <si>
    <t>B132-0599</t>
  </si>
  <si>
    <t>C402-0600</t>
  </si>
  <si>
    <t>C321-0601</t>
  </si>
  <si>
    <t>C705-0602</t>
  </si>
  <si>
    <t>A929-0603</t>
  </si>
  <si>
    <t>C344-0604</t>
  </si>
  <si>
    <t>C565-0605</t>
  </si>
  <si>
    <t>B742-0606</t>
  </si>
  <si>
    <t>A906-0607</t>
  </si>
  <si>
    <t>C576-0608</t>
  </si>
  <si>
    <t>C442-0609</t>
  </si>
  <si>
    <t>A615-0610</t>
  </si>
  <si>
    <t>C581-0611</t>
  </si>
  <si>
    <t>C283-0612</t>
  </si>
  <si>
    <t>B123-0613</t>
  </si>
  <si>
    <t>B992-0614</t>
  </si>
  <si>
    <t>A661-0615</t>
  </si>
  <si>
    <t>B395-0616</t>
  </si>
  <si>
    <t>A279-0617</t>
  </si>
  <si>
    <t>C310-0618</t>
  </si>
  <si>
    <t>C125-0619</t>
  </si>
  <si>
    <t>B402-0620</t>
  </si>
  <si>
    <t>B242-0621</t>
  </si>
  <si>
    <t>C756-0622</t>
  </si>
  <si>
    <t>A503-0623</t>
  </si>
  <si>
    <t>A537-0624</t>
  </si>
  <si>
    <t>B554-0625</t>
  </si>
  <si>
    <t>C312-0626</t>
  </si>
  <si>
    <t>B379-0627</t>
  </si>
  <si>
    <t>B143-0628</t>
  </si>
  <si>
    <t>12:30</t>
  </si>
  <si>
    <t>B755-0629</t>
  </si>
  <si>
    <t>C129-0630</t>
  </si>
  <si>
    <t>A743-0631</t>
  </si>
  <si>
    <t>C427-0632</t>
  </si>
  <si>
    <t>B642-0633</t>
  </si>
  <si>
    <t>C946-0634</t>
  </si>
  <si>
    <t>C113-0635</t>
  </si>
  <si>
    <t>A292-0636</t>
  </si>
  <si>
    <t>C471-0637</t>
  </si>
  <si>
    <t>10:35</t>
  </si>
  <si>
    <t>A332-0638</t>
  </si>
  <si>
    <t>B875-0639</t>
  </si>
  <si>
    <t>B144-0640</t>
  </si>
  <si>
    <t>A129-0641</t>
  </si>
  <si>
    <t>A201-0642</t>
  </si>
  <si>
    <t>C319-0643</t>
  </si>
  <si>
    <t>C534-0644</t>
  </si>
  <si>
    <t>A880-0645</t>
  </si>
  <si>
    <t>B803-0646</t>
  </si>
  <si>
    <t>B113-0647</t>
  </si>
  <si>
    <t>C204-0648</t>
  </si>
  <si>
    <t>C534-0649</t>
  </si>
  <si>
    <t>C717-0650</t>
  </si>
  <si>
    <t>B237-0651</t>
  </si>
  <si>
    <t>A410-0652</t>
  </si>
  <si>
    <t>16:45</t>
  </si>
  <si>
    <t>C616-0653</t>
  </si>
  <si>
    <t>B136-0654</t>
  </si>
  <si>
    <t>A212-0655</t>
  </si>
  <si>
    <t>C486-0656</t>
  </si>
  <si>
    <t>C697-0657</t>
  </si>
  <si>
    <t>A340-0658</t>
  </si>
  <si>
    <t>C138-0659</t>
  </si>
  <si>
    <t>B430-0660</t>
  </si>
  <si>
    <t>C729-0661</t>
  </si>
  <si>
    <t>B687-0662</t>
  </si>
  <si>
    <t>B643-0663</t>
  </si>
  <si>
    <t>B304-0664</t>
  </si>
  <si>
    <t>B291-0665</t>
  </si>
  <si>
    <t>C544-0666</t>
  </si>
  <si>
    <t>C980-0667</t>
  </si>
  <si>
    <t>A216-0668</t>
  </si>
  <si>
    <t>A137-0669</t>
  </si>
  <si>
    <t>A839-0670</t>
  </si>
  <si>
    <t>B192-0671</t>
  </si>
  <si>
    <t>B637-0672</t>
  </si>
  <si>
    <t>B861-0673</t>
  </si>
  <si>
    <t>A157-0674</t>
  </si>
  <si>
    <t>B832-0675</t>
  </si>
  <si>
    <t>B787-0676</t>
  </si>
  <si>
    <t>A497-0677</t>
  </si>
  <si>
    <t>A931-0678</t>
  </si>
  <si>
    <t>C939-0679</t>
  </si>
  <si>
    <t>A128-0680</t>
  </si>
  <si>
    <t>A213-0681</t>
  </si>
  <si>
    <t>A803-0682</t>
  </si>
  <si>
    <t>C123-0683</t>
  </si>
  <si>
    <t>C252-0684</t>
  </si>
  <si>
    <t>A830-0685</t>
  </si>
  <si>
    <t>A943-0686</t>
  </si>
  <si>
    <t>B354-0687</t>
  </si>
  <si>
    <t>B825-0688</t>
  </si>
  <si>
    <t>B786-0689</t>
  </si>
  <si>
    <t>C672-0690</t>
  </si>
  <si>
    <t>A543-0691</t>
  </si>
  <si>
    <t>A389-0692</t>
  </si>
  <si>
    <t>B550-0693</t>
  </si>
  <si>
    <t>A218-0694</t>
  </si>
  <si>
    <t>B987-0695</t>
  </si>
  <si>
    <t>A676-0696</t>
  </si>
  <si>
    <t>C436-0697</t>
  </si>
  <si>
    <t>A824-0698</t>
  </si>
  <si>
    <t>C563-0699</t>
  </si>
  <si>
    <t>B716-0700</t>
  </si>
  <si>
    <t>B512-0701</t>
  </si>
  <si>
    <t>B198-0702</t>
  </si>
  <si>
    <t>B532-0703</t>
  </si>
  <si>
    <t>B802-0704</t>
  </si>
  <si>
    <t>C920-0705</t>
  </si>
  <si>
    <t>B664-0706</t>
  </si>
  <si>
    <t>A463-0707</t>
  </si>
  <si>
    <t>B997-0708</t>
  </si>
  <si>
    <t>C180-0709</t>
  </si>
  <si>
    <t>C571-0710</t>
  </si>
  <si>
    <t>C409-0711</t>
  </si>
  <si>
    <t>A765-0712</t>
  </si>
  <si>
    <t>A256-0713</t>
  </si>
  <si>
    <t>C953-0714</t>
  </si>
  <si>
    <t>B667-0715</t>
  </si>
  <si>
    <t>B640-0716</t>
  </si>
  <si>
    <t>A455-0717</t>
  </si>
  <si>
    <t>B701-0718</t>
  </si>
  <si>
    <t>C583-0719</t>
  </si>
  <si>
    <t>A203-0720</t>
  </si>
  <si>
    <t>B278-0721</t>
  </si>
  <si>
    <t>C448-0722</t>
  </si>
  <si>
    <t>B548-0723</t>
  </si>
  <si>
    <t>B220-0724</t>
  </si>
  <si>
    <t>A472-0725</t>
  </si>
  <si>
    <t>B275-0726</t>
  </si>
  <si>
    <t>A642-0727</t>
  </si>
  <si>
    <t>B553-0728</t>
  </si>
  <si>
    <t>A776-0729</t>
  </si>
  <si>
    <t>C994-0730</t>
  </si>
  <si>
    <t>B310-0731</t>
  </si>
  <si>
    <t>C842-0732</t>
  </si>
  <si>
    <t>C128-0733</t>
  </si>
  <si>
    <t>C462-0734</t>
  </si>
  <si>
    <t>A679-0735</t>
  </si>
  <si>
    <t>C353-0736</t>
  </si>
  <si>
    <t>A233-0737</t>
  </si>
  <si>
    <t>B992-0738</t>
  </si>
  <si>
    <t>B828-0739</t>
  </si>
  <si>
    <t>12:10</t>
  </si>
  <si>
    <t>B221-0740</t>
  </si>
  <si>
    <t>C483-0741</t>
  </si>
  <si>
    <t>B320-0742</t>
  </si>
  <si>
    <t>A563-0743</t>
  </si>
  <si>
    <t>B783-0744</t>
  </si>
  <si>
    <t>B146-0745</t>
  </si>
  <si>
    <t>C760-0746</t>
  </si>
  <si>
    <t>A119-0747</t>
  </si>
  <si>
    <t>A511-0748</t>
  </si>
  <si>
    <t>C193-0749</t>
  </si>
  <si>
    <t>A160-0750</t>
  </si>
  <si>
    <t>C431-0751</t>
  </si>
  <si>
    <t>B494-0752</t>
  </si>
  <si>
    <t>A119-0753</t>
  </si>
  <si>
    <t>B751-0754</t>
  </si>
  <si>
    <t>C101-0755</t>
  </si>
  <si>
    <t>B459-0756</t>
  </si>
  <si>
    <t>C225-0757</t>
  </si>
  <si>
    <t>A824-0758</t>
  </si>
  <si>
    <t>B808-0759</t>
  </si>
  <si>
    <t>A502-0760</t>
  </si>
  <si>
    <t>C466-0761</t>
  </si>
  <si>
    <t>B387-0762</t>
  </si>
  <si>
    <t>C604-0763</t>
  </si>
  <si>
    <t>C665-0764</t>
  </si>
  <si>
    <t>A846-0765</t>
  </si>
  <si>
    <t>B537-0766</t>
  </si>
  <si>
    <t>C470-0767</t>
  </si>
  <si>
    <t>C442-0768</t>
  </si>
  <si>
    <t>A741-0769</t>
  </si>
  <si>
    <t>C584-0770</t>
  </si>
  <si>
    <t>A740-0771</t>
  </si>
  <si>
    <t>B552-0772</t>
  </si>
  <si>
    <t>A732-0773</t>
  </si>
  <si>
    <t>B791-0774</t>
  </si>
  <si>
    <t>19:05</t>
  </si>
  <si>
    <t>A960-0775</t>
  </si>
  <si>
    <t>A161-0776</t>
  </si>
  <si>
    <t>A416-0777</t>
  </si>
  <si>
    <t>C619-0778</t>
  </si>
  <si>
    <t>C587-0779</t>
  </si>
  <si>
    <t>C565-0780</t>
  </si>
  <si>
    <t>A886-0781</t>
  </si>
  <si>
    <t>B217-0782</t>
  </si>
  <si>
    <t>A324-0783</t>
  </si>
  <si>
    <t>B793-0784</t>
  </si>
  <si>
    <t>A639-0785</t>
  </si>
  <si>
    <t>C425-0786</t>
  </si>
  <si>
    <t>C154-0787</t>
  </si>
  <si>
    <t>C271-0788</t>
  </si>
  <si>
    <t>C606-0789</t>
  </si>
  <si>
    <t>B562-0790</t>
  </si>
  <si>
    <t>A237-0791</t>
  </si>
  <si>
    <t>A561-0792</t>
  </si>
  <si>
    <t>B371-0793</t>
  </si>
  <si>
    <t>C333-0794</t>
  </si>
  <si>
    <t>A863-0795</t>
  </si>
  <si>
    <t>C454-0796</t>
  </si>
  <si>
    <t>B585-0797</t>
  </si>
  <si>
    <t>A560-0798</t>
  </si>
  <si>
    <t>C447-0799</t>
  </si>
  <si>
    <t>A132-0800</t>
  </si>
  <si>
    <t>A500-0801</t>
  </si>
  <si>
    <t>A791-0802</t>
  </si>
  <si>
    <t>C338-0803</t>
  </si>
  <si>
    <t>B213-0804</t>
  </si>
  <si>
    <t>A780-0805</t>
  </si>
  <si>
    <t>B944-0806</t>
  </si>
  <si>
    <t>B761-0807</t>
  </si>
  <si>
    <t>B568-0808</t>
  </si>
  <si>
    <t>B782-0809</t>
  </si>
  <si>
    <t>A898-0810</t>
  </si>
  <si>
    <t>B791-0811</t>
  </si>
  <si>
    <t>C239-0812</t>
  </si>
  <si>
    <t>B940-0813</t>
  </si>
  <si>
    <t>B179-0814</t>
  </si>
  <si>
    <t>C813-0815</t>
  </si>
  <si>
    <t>A355-0816</t>
  </si>
  <si>
    <t>B325-0817</t>
  </si>
  <si>
    <t>A312-0818</t>
  </si>
  <si>
    <t>C423-0819</t>
  </si>
  <si>
    <t>A323-0820</t>
  </si>
  <si>
    <t>B746-0821</t>
  </si>
  <si>
    <t>C699-0822</t>
  </si>
  <si>
    <t>B855-0823</t>
  </si>
  <si>
    <t>B138-0824</t>
  </si>
  <si>
    <t>A334-0825</t>
  </si>
  <si>
    <t>C722-0826</t>
  </si>
  <si>
    <t>B244-0827</t>
  </si>
  <si>
    <t>A418-0828</t>
  </si>
  <si>
    <t>A306-0829</t>
  </si>
  <si>
    <t>B543-0830</t>
  </si>
  <si>
    <t>A279-0831</t>
  </si>
  <si>
    <t>B832-0832</t>
  </si>
  <si>
    <t>B860-0833</t>
  </si>
  <si>
    <t>B679-0834</t>
  </si>
  <si>
    <t>A159-0835</t>
  </si>
  <si>
    <t>C814-0836</t>
  </si>
  <si>
    <t>C961-0837</t>
  </si>
  <si>
    <t>A997-0838</t>
  </si>
  <si>
    <t>B521-0839</t>
  </si>
  <si>
    <t>C507-0840</t>
  </si>
  <si>
    <t>C770-0841</t>
  </si>
  <si>
    <t>B561-0842</t>
  </si>
  <si>
    <t>C739-0843</t>
  </si>
  <si>
    <t>A589-0844</t>
  </si>
  <si>
    <t>B910-0845</t>
  </si>
  <si>
    <t>A451-0846</t>
  </si>
  <si>
    <t>B991-0847</t>
  </si>
  <si>
    <t>C774-0848</t>
  </si>
  <si>
    <t>B853-0849</t>
  </si>
  <si>
    <t>B977-0850</t>
  </si>
  <si>
    <t>C609-0851</t>
  </si>
  <si>
    <t>A274-0852</t>
  </si>
  <si>
    <t>C363-0853</t>
  </si>
  <si>
    <t>C329-0854</t>
  </si>
  <si>
    <t>C328-0855</t>
  </si>
  <si>
    <t>B230-0856</t>
  </si>
  <si>
    <t>B916-0857</t>
  </si>
  <si>
    <t>C611-0858</t>
  </si>
  <si>
    <t>C226-0859</t>
  </si>
  <si>
    <t>B850-0860</t>
  </si>
  <si>
    <t>A532-0861</t>
  </si>
  <si>
    <t>C661-0862</t>
  </si>
  <si>
    <t>B240-0863</t>
  </si>
  <si>
    <t>B204-0864</t>
  </si>
  <si>
    <t>C153-0865</t>
  </si>
  <si>
    <t>A409-0866</t>
  </si>
  <si>
    <t>C555-0867</t>
  </si>
  <si>
    <t>B686-0868</t>
  </si>
  <si>
    <t>C405-0869</t>
  </si>
  <si>
    <t>C937-0870</t>
  </si>
  <si>
    <t>C285-0871</t>
  </si>
  <si>
    <t>C265-0872</t>
  </si>
  <si>
    <t>A773-0873</t>
  </si>
  <si>
    <t>A602-0874</t>
  </si>
  <si>
    <t>C292-0875</t>
  </si>
  <si>
    <t>A532-0876</t>
  </si>
  <si>
    <t>A811-0877</t>
  </si>
  <si>
    <t>A719-0878</t>
  </si>
  <si>
    <t>A227-0879</t>
  </si>
  <si>
    <t>C331-0880</t>
  </si>
  <si>
    <t>B996-0881</t>
  </si>
  <si>
    <t>B149-0882</t>
  </si>
  <si>
    <t>A365-0883</t>
  </si>
  <si>
    <t>A794-0884</t>
  </si>
  <si>
    <t>C633-0885</t>
  </si>
  <si>
    <t>C847-0886</t>
  </si>
  <si>
    <t>A848-0887</t>
  </si>
  <si>
    <t>A951-0888</t>
  </si>
  <si>
    <t>C721-0889</t>
  </si>
  <si>
    <t>B274-0890</t>
  </si>
  <si>
    <t>B318-0891</t>
  </si>
  <si>
    <t>A106-0892</t>
  </si>
  <si>
    <t>C541-0893</t>
  </si>
  <si>
    <t>B772-0894</t>
  </si>
  <si>
    <t>B549-0895</t>
  </si>
  <si>
    <t>C391-0896</t>
  </si>
  <si>
    <t>A372-0897</t>
  </si>
  <si>
    <t>A963-0898</t>
  </si>
  <si>
    <t>B342-0899</t>
  </si>
  <si>
    <t>A539-0900</t>
  </si>
  <si>
    <t>A823-0901</t>
  </si>
  <si>
    <t>A296-0902</t>
  </si>
  <si>
    <t>A336-0903</t>
  </si>
  <si>
    <t>A387-0904</t>
  </si>
  <si>
    <t>B317-0905</t>
  </si>
  <si>
    <t>B199-0906</t>
  </si>
  <si>
    <t>C382-0907</t>
  </si>
  <si>
    <t>A297-0908</t>
  </si>
  <si>
    <t>C306-0909</t>
  </si>
  <si>
    <t>C834-0910</t>
  </si>
  <si>
    <t>A232-0911</t>
  </si>
  <si>
    <t>B269-0912</t>
  </si>
  <si>
    <t>B813-0913</t>
  </si>
  <si>
    <t>A646-0914</t>
  </si>
  <si>
    <t>A943-0915</t>
  </si>
  <si>
    <t>A370-0916</t>
  </si>
  <si>
    <t>C386-0917</t>
  </si>
  <si>
    <t>A749-0918</t>
  </si>
  <si>
    <t>C847-0919</t>
  </si>
  <si>
    <t>C280-0920</t>
  </si>
  <si>
    <t>A171-0921</t>
  </si>
  <si>
    <t>A112-0922</t>
  </si>
  <si>
    <t>C374-0923</t>
  </si>
  <si>
    <t>A554-0924</t>
  </si>
  <si>
    <t>A944-0925</t>
  </si>
  <si>
    <t>A494-0926</t>
  </si>
  <si>
    <t>A329-0927</t>
  </si>
  <si>
    <t>A538-0928</t>
  </si>
  <si>
    <t>C611-0929</t>
  </si>
  <si>
    <t>C557-0930</t>
  </si>
  <si>
    <t>C494-0931</t>
  </si>
  <si>
    <t>B769-0932</t>
  </si>
  <si>
    <t>A694-0933</t>
  </si>
  <si>
    <t>C236-0934</t>
  </si>
  <si>
    <t>A531-0935</t>
  </si>
  <si>
    <t>A534-0936</t>
  </si>
  <si>
    <t>B180-0937</t>
  </si>
  <si>
    <t>A640-0938</t>
  </si>
  <si>
    <t>C757-0939</t>
  </si>
  <si>
    <t>A685-0940</t>
  </si>
  <si>
    <t>C510-0941</t>
  </si>
  <si>
    <t>C768-0942</t>
  </si>
  <si>
    <t>C179-0943</t>
  </si>
  <si>
    <t>B416-0944</t>
  </si>
  <si>
    <t>A422-0945</t>
  </si>
  <si>
    <t>A232-0946</t>
  </si>
  <si>
    <t>C491-0947</t>
  </si>
  <si>
    <t>B320-0948</t>
  </si>
  <si>
    <t>C447-0949</t>
  </si>
  <si>
    <t>B256-0950</t>
  </si>
  <si>
    <t>C273-0951</t>
  </si>
  <si>
    <t>B364-0952</t>
  </si>
  <si>
    <t>B510-0953</t>
  </si>
  <si>
    <t>B560-0954</t>
  </si>
  <si>
    <t>B683-0955</t>
  </si>
  <si>
    <t>B937-0956</t>
  </si>
  <si>
    <t>B450-0957</t>
  </si>
  <si>
    <t>C581-0958</t>
  </si>
  <si>
    <t>A318-0959</t>
  </si>
  <si>
    <t>A514-0960</t>
  </si>
  <si>
    <t>A871-0961</t>
  </si>
  <si>
    <t>B547-0962</t>
  </si>
  <si>
    <t>B248-0963</t>
  </si>
  <si>
    <t>B633-0964</t>
  </si>
  <si>
    <t>C530-0965</t>
  </si>
  <si>
    <t>C116-0966</t>
  </si>
  <si>
    <t>B536-0967</t>
  </si>
  <si>
    <t>C490-0968</t>
  </si>
  <si>
    <t>B521-0969</t>
  </si>
  <si>
    <t>A895-0970</t>
  </si>
  <si>
    <t>B858-0971</t>
  </si>
  <si>
    <t>B104-0972</t>
  </si>
  <si>
    <t>B685-0973</t>
  </si>
  <si>
    <t>B499-0974</t>
  </si>
  <si>
    <t>C746-0975</t>
  </si>
  <si>
    <t>C743-0976</t>
  </si>
  <si>
    <t>C564-0977</t>
  </si>
  <si>
    <t>C926-0978</t>
  </si>
  <si>
    <t>B213-0979</t>
  </si>
  <si>
    <t>B312-0980</t>
  </si>
  <si>
    <t>B421-0981</t>
  </si>
  <si>
    <t>C220-0982</t>
  </si>
  <si>
    <t>B297-0983</t>
  </si>
  <si>
    <t>C241-0984</t>
  </si>
  <si>
    <t>A578-0985</t>
  </si>
  <si>
    <t>C834-0986</t>
  </si>
  <si>
    <t>B556-0987</t>
  </si>
  <si>
    <t>B747-0988</t>
  </si>
  <si>
    <t>A760-0989</t>
  </si>
  <si>
    <t>C772-0990</t>
  </si>
  <si>
    <t>B681-0991</t>
  </si>
  <si>
    <t>B722-0992</t>
  </si>
  <si>
    <t>C610-0993</t>
  </si>
  <si>
    <t>A121-0994</t>
  </si>
  <si>
    <t>B116-0995</t>
  </si>
  <si>
    <t>A420-0996</t>
  </si>
  <si>
    <t>B205-0997</t>
  </si>
  <si>
    <t>A841-0998</t>
  </si>
  <si>
    <t>B804-0999</t>
  </si>
  <si>
    <t>C251-1000</t>
  </si>
  <si>
    <t>Check</t>
  </si>
  <si>
    <t>Result</t>
  </si>
  <si>
    <t>Missing Cells</t>
  </si>
  <si>
    <t>TotalMismatches</t>
  </si>
  <si>
    <t>Super market sales analysis</t>
  </si>
  <si>
    <t>Total transactions</t>
  </si>
  <si>
    <t>Total revenue</t>
  </si>
  <si>
    <t>Total units sold</t>
  </si>
  <si>
    <t>Average transaction value</t>
  </si>
  <si>
    <t>Average customer rating</t>
  </si>
  <si>
    <t>Row Labels</t>
  </si>
  <si>
    <t>Grand Total</t>
  </si>
  <si>
    <t>Sum of Total</t>
  </si>
  <si>
    <t>Product Line</t>
  </si>
  <si>
    <t>Product-line insights</t>
  </si>
  <si>
    <t>Highest revenue product line</t>
  </si>
  <si>
    <t>Lowest revenue product line</t>
  </si>
  <si>
    <t>Highest units sold product line</t>
  </si>
  <si>
    <t>Fashion and accessories</t>
  </si>
  <si>
    <t>Count of Invoice ID</t>
  </si>
  <si>
    <t>Payment method insights</t>
  </si>
  <si>
    <t>Most-used payment method</t>
  </si>
  <si>
    <t>Least-used payment method</t>
  </si>
  <si>
    <t>Percentage</t>
  </si>
  <si>
    <t>Credit Card</t>
  </si>
  <si>
    <t>Customer Analysis Insights</t>
  </si>
  <si>
    <t>Highest revenue customer type</t>
  </si>
  <si>
    <t>Lowest revenue customer type</t>
  </si>
  <si>
    <t>Corrected Dates</t>
  </si>
  <si>
    <t>Jan</t>
  </si>
  <si>
    <t>Feb</t>
  </si>
  <si>
    <t>Mar</t>
  </si>
  <si>
    <t>2019</t>
  </si>
  <si>
    <t>Monthly Sales Insights</t>
  </si>
  <si>
    <t>Highest revenue month</t>
  </si>
  <si>
    <t>Lowest revenue month</t>
  </si>
  <si>
    <t>Monthly revenue trend</t>
  </si>
  <si>
    <t>Decrease,then partial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</si>
</sst>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8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1" applyNumberFormat="1" applyFont="1"/>
    <xf numFmtId="0" fontId="6" fillId="0" borderId="2" xfId="0" applyFont="1" applyBorder="1" applyAlignment="1">
      <alignment horizontal="center" vertical="top"/>
    </xf>
    <xf numFmtId="14" fontId="0" fillId="0" borderId="0" xfId="0" applyNumberFormat="1"/>
    <xf numFmtId="0" fontId="7" fillId="2" borderId="0" xfId="0" applyFont="1" applyFill="1" applyAlignment="1">
      <alignment horizontal="center"/>
    </xf>
    <xf numFmtId="168" fontId="0" fillId="0" borderId="0" xfId="0" applyNumberFormat="1"/>
    <xf numFmtId="2" fontId="4" fillId="0" borderId="0" xfId="0" applyNumberFormat="1" applyFont="1" applyAlignment="1">
      <alignment vertical="center" wrapText="1"/>
    </xf>
    <xf numFmtId="0" fontId="2" fillId="3" borderId="0" xfId="0" applyFont="1" applyFill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[Supermarket_Sales_Analysis_Final.xlsx]Branch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branch</a:t>
            </a:r>
          </a:p>
        </c:rich>
      </c:tx>
      <c:layout>
        <c:manualLayout>
          <c:xMode val="edge"/>
          <c:yMode val="edge"/>
          <c:x val="0.3425000000000000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Analysis'!$A$4:$A$7</c:f>
              <c:strCache>
                <c:ptCount val="3"/>
                <c:pt idx="0">
                  <c:v>B</c:v>
                </c:pt>
                <c:pt idx="1">
                  <c:v>C</c:v>
                </c:pt>
                <c:pt idx="2">
                  <c:v>A</c:v>
                </c:pt>
              </c:strCache>
            </c:strRef>
          </c:cat>
          <c:val>
            <c:numRef>
              <c:f>'Branch Analysis'!$B$4:$B$7</c:f>
              <c:numCache>
                <c:formatCode>General</c:formatCode>
                <c:ptCount val="3"/>
                <c:pt idx="0">
                  <c:v>113188.09</c:v>
                </c:pt>
                <c:pt idx="1">
                  <c:v>110917.83999999998</c:v>
                </c:pt>
                <c:pt idx="2">
                  <c:v>99951.359999999986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F-41BF-BEE7-0BFC4D1FE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796168"/>
        <c:axId val="453790768"/>
      </c:barChart>
      <c:catAx>
        <c:axId val="45379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90768"/>
        <c:crosses val="autoZero"/>
        <c:auto val="1"/>
        <c:lblAlgn val="ctr"/>
        <c:lblOffset val="100"/>
        <c:noMultiLvlLbl val="0"/>
      </c:catAx>
      <c:valAx>
        <c:axId val="45379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9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[Supermarket_Sales_Analysis_Final.xlsx]Product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Analysis'!$A$4:$A$10</c:f>
              <c:strCache>
                <c:ptCount val="6"/>
                <c:pt idx="0">
                  <c:v>Fashion accessories</c:v>
                </c:pt>
                <c:pt idx="1">
                  <c:v>Home and lifestyle</c:v>
                </c:pt>
                <c:pt idx="2">
                  <c:v>Health and beauty</c:v>
                </c:pt>
                <c:pt idx="3">
                  <c:v>Sports and travel</c:v>
                </c:pt>
                <c:pt idx="4">
                  <c:v>Electronic accessories</c:v>
                </c:pt>
                <c:pt idx="5">
                  <c:v>Food and beverages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6"/>
                <c:pt idx="0">
                  <c:v>58398.13</c:v>
                </c:pt>
                <c:pt idx="1">
                  <c:v>57522.559999999998</c:v>
                </c:pt>
                <c:pt idx="2">
                  <c:v>55650.91</c:v>
                </c:pt>
                <c:pt idx="3">
                  <c:v>52238.800000000017</c:v>
                </c:pt>
                <c:pt idx="4">
                  <c:v>51029.119999999981</c:v>
                </c:pt>
                <c:pt idx="5">
                  <c:v>49217.770000000033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2-4688-AA51-F4184102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805560"/>
        <c:axId val="458809160"/>
      </c:barChart>
      <c:catAx>
        <c:axId val="45880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09160"/>
        <c:crosses val="autoZero"/>
        <c:auto val="1"/>
        <c:lblAlgn val="ctr"/>
        <c:lblOffset val="100"/>
        <c:noMultiLvlLbl val="0"/>
      </c:catAx>
      <c:valAx>
        <c:axId val="45880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0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[Supermarket_Sales_Analysis_Final.xlsx]Payment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Transactions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analysis'!$A$4:$A$7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'Payment analysis'!$B$4:$B$7</c:f>
              <c:numCache>
                <c:formatCode>General</c:formatCode>
                <c:ptCount val="3"/>
                <c:pt idx="0">
                  <c:v>306</c:v>
                </c:pt>
                <c:pt idx="1">
                  <c:v>360</c:v>
                </c:pt>
                <c:pt idx="2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6-470A-8BA2-78A47E060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809520"/>
        <c:axId val="458809880"/>
      </c:barChart>
      <c:catAx>
        <c:axId val="4588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09880"/>
        <c:crosses val="autoZero"/>
        <c:auto val="1"/>
        <c:lblAlgn val="ctr"/>
        <c:lblOffset val="100"/>
        <c:noMultiLvlLbl val="0"/>
      </c:catAx>
      <c:valAx>
        <c:axId val="45880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[Supermarket_Sales_Analysis_Final.xlsx]Customer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Customer Type</a:t>
            </a:r>
            <a:endParaRPr lang="en-US"/>
          </a:p>
        </c:rich>
      </c:tx>
      <c:layout>
        <c:manualLayout>
          <c:xMode val="edge"/>
          <c:yMode val="edge"/>
          <c:x val="0.4536111111111111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'Customer analysis'!$B$4:$B$6</c:f>
              <c:numCache>
                <c:formatCode>General</c:formatCode>
                <c:ptCount val="2"/>
                <c:pt idx="0">
                  <c:v>159230.63000000015</c:v>
                </c:pt>
                <c:pt idx="1">
                  <c:v>164826.66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4-48E2-B50C-9C2AF967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145352"/>
        <c:axId val="583142832"/>
      </c:barChart>
      <c:catAx>
        <c:axId val="58314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42832"/>
        <c:crosses val="autoZero"/>
        <c:auto val="1"/>
        <c:lblAlgn val="ctr"/>
        <c:lblOffset val="100"/>
        <c:noMultiLvlLbl val="0"/>
      </c:catAx>
      <c:valAx>
        <c:axId val="5831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4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[Supermarket_Sales_Analysis_Final.xlsx]Data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'Data Analysis'!$A$4:$A$8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'Data Analysis'!$B$4:$B$8</c:f>
              <c:numCache>
                <c:formatCode>General</c:formatCode>
                <c:ptCount val="3"/>
                <c:pt idx="0">
                  <c:v>120704.33999999997</c:v>
                </c:pt>
                <c:pt idx="1">
                  <c:v>100161.43000000004</c:v>
                </c:pt>
                <c:pt idx="2">
                  <c:v>103191.52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0-4110-B01B-C03E09C82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184984"/>
        <c:axId val="630184264"/>
      </c:barChart>
      <c:catAx>
        <c:axId val="63018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84264"/>
        <c:crosses val="autoZero"/>
        <c:auto val="1"/>
        <c:lblAlgn val="ctr"/>
        <c:lblOffset val="100"/>
        <c:noMultiLvlLbl val="0"/>
      </c:catAx>
      <c:valAx>
        <c:axId val="63018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8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168275</xdr:rowOff>
    </xdr:from>
    <xdr:to>
      <xdr:col>12</xdr:col>
      <xdr:colOff>38100</xdr:colOff>
      <xdr:row>15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6B67D-D7EE-AA6E-3913-8DBEDBDCC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1</xdr:row>
      <xdr:rowOff>41275</xdr:rowOff>
    </xdr:from>
    <xdr:to>
      <xdr:col>10</xdr:col>
      <xdr:colOff>558800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0C2E1-F825-56A0-7169-F15E9757C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0</xdr:row>
      <xdr:rowOff>161925</xdr:rowOff>
    </xdr:from>
    <xdr:to>
      <xdr:col>11</xdr:col>
      <xdr:colOff>260350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96866-F590-1B78-54AE-487EB1439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1</xdr:row>
      <xdr:rowOff>130175</xdr:rowOff>
    </xdr:from>
    <xdr:to>
      <xdr:col>9</xdr:col>
      <xdr:colOff>565150</xdr:colOff>
      <xdr:row>16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73325-BC32-24C0-268D-10197CDA2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28575</xdr:rowOff>
    </xdr:from>
    <xdr:to>
      <xdr:col>11</xdr:col>
      <xdr:colOff>76200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1AD12-ED42-E4A8-2EFE-2FD6428D6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4.944902546296" createdVersion="8" refreshedVersion="8" minRefreshableVersion="3" recordCount="1000" xr:uid="{0C9AB40D-0BDC-4D52-AD8B-427F7F51CA86}">
  <cacheSource type="worksheet">
    <worksheetSource ref="A1:Q1001" sheet="Raw Data"/>
  </cacheSource>
  <cacheFields count="17">
    <cacheField name="Invoice ID" numFmtId="0">
      <sharedItems count="1000">
        <s v="C189-0001"/>
        <s v="C765-0002"/>
        <s v="C881-0003"/>
        <s v="B227-0004"/>
        <s v="B333-0005"/>
        <s v="B786-0006"/>
        <s v="B324-0007"/>
        <s v="C680-0008"/>
        <s v="C651-0009"/>
        <s v="B256-0010"/>
        <s v="C981-0011"/>
        <s v="A996-0012"/>
        <s v="C880-0013"/>
        <s v="A180-0014"/>
        <s v="A993-0015"/>
        <s v="C629-0016"/>
        <s v="B172-0017"/>
        <s v="C319-0018"/>
        <s v="C533-0019"/>
        <s v="B211-0020"/>
        <s v="A177-0021"/>
        <s v="B318-0022"/>
        <s v="B848-0023"/>
        <s v="C151-0024"/>
        <s v="C340-0025"/>
        <s v="B423-0026"/>
        <s v="B869-0027"/>
        <s v="A457-0028"/>
        <s v="A936-0029"/>
        <s v="C834-0030"/>
        <s v="B441-0031"/>
        <s v="A807-0032"/>
        <s v="A915-0033"/>
        <s v="A342-0034"/>
        <s v="A906-0035"/>
        <s v="C992-0036"/>
        <s v="A509-0037"/>
        <s v="C544-0038"/>
        <s v="B546-0039"/>
        <s v="A407-0040"/>
        <s v="C488-0041"/>
        <s v="C721-0042"/>
        <s v="C390-0043"/>
        <s v="C586-0044"/>
        <s v="C771-0045"/>
        <s v="C224-0046"/>
        <s v="B616-0047"/>
        <s v="B633-0048"/>
        <s v="B182-0049"/>
        <s v="A525-0050"/>
        <s v="A460-0051"/>
        <s v="B597-0052"/>
        <s v="A503-0053"/>
        <s v="C565-0054"/>
        <s v="B153-0055"/>
        <s v="B229-0056"/>
        <s v="B896-0057"/>
        <s v="A303-0058"/>
        <s v="A777-0059"/>
        <s v="B570-0060"/>
        <s v="C848-0061"/>
        <s v="C784-0062"/>
        <s v="B710-0063"/>
        <s v="C807-0064"/>
        <s v="B584-0065"/>
        <s v="C838-0066"/>
        <s v="A703-0067"/>
        <s v="C380-0068"/>
        <s v="A551-0069"/>
        <s v="B744-0070"/>
        <s v="C720-0071"/>
        <s v="C724-0072"/>
        <s v="C102-0073"/>
        <s v="B370-0074"/>
        <s v="C414-0075"/>
        <s v="C182-0076"/>
        <s v="C689-0077"/>
        <s v="C285-0078"/>
        <s v="C437-0079"/>
        <s v="B218-0080"/>
        <s v="B152-0081"/>
        <s v="A826-0082"/>
        <s v="A610-0083"/>
        <s v="C713-0084"/>
        <s v="C405-0085"/>
        <s v="C429-0086"/>
        <s v="A930-0087"/>
        <s v="B550-0088"/>
        <s v="A507-0089"/>
        <s v="C136-0090"/>
        <s v="C820-0091"/>
        <s v="A541-0092"/>
        <s v="A734-0093"/>
        <s v="C923-0094"/>
        <s v="B567-0095"/>
        <s v="B402-0096"/>
        <s v="A460-0097"/>
        <s v="A907-0098"/>
        <s v="B652-0099"/>
        <s v="B244-0100"/>
        <s v="A866-0101"/>
        <s v="C674-0102"/>
        <s v="B138-0103"/>
        <s v="B860-0104"/>
        <s v="C322-0105"/>
        <s v="B294-0106"/>
        <s v="A905-0107"/>
        <s v="C979-0108"/>
        <s v="A116-0109"/>
        <s v="A625-0110"/>
        <s v="C131-0111"/>
        <s v="A167-0112"/>
        <s v="A912-0113"/>
        <s v="C197-0114"/>
        <s v="B195-0115"/>
        <s v="B462-0116"/>
        <s v="C593-0117"/>
        <s v="A938-0118"/>
        <s v="C679-0119"/>
        <s v="C449-0120"/>
        <s v="A732-0121"/>
        <s v="A624-0122"/>
        <s v="A504-0123"/>
        <s v="C609-0124"/>
        <s v="C982-0125"/>
        <s v="C755-0126"/>
        <s v="B190-0127"/>
        <s v="B441-0128"/>
        <s v="A362-0129"/>
        <s v="A678-0130"/>
        <s v="C460-0131"/>
        <s v="C975-0132"/>
        <s v="A587-0133"/>
        <s v="C824-0134"/>
        <s v="B908-0135"/>
        <s v="C717-0136"/>
        <s v="A709-0137"/>
        <s v="C639-0138"/>
        <s v="A240-0139"/>
        <s v="A732-0140"/>
        <s v="A836-0141"/>
        <s v="A298-0142"/>
        <s v="B241-0143"/>
        <s v="B379-0144"/>
        <s v="B614-0145"/>
        <s v="B249-0146"/>
        <s v="A119-0147"/>
        <s v="B224-0148"/>
        <s v="A747-0149"/>
        <s v="C784-0150"/>
        <s v="A496-0151"/>
        <s v="B852-0152"/>
        <s v="B930-0153"/>
        <s v="A934-0154"/>
        <s v="C227-0155"/>
        <s v="B916-0156"/>
        <s v="C181-0157"/>
        <s v="B990-0158"/>
        <s v="B920-0159"/>
        <s v="C475-0160"/>
        <s v="B642-0161"/>
        <s v="B675-0162"/>
        <s v="A175-0163"/>
        <s v="B397-0164"/>
        <s v="B667-0165"/>
        <s v="C638-0166"/>
        <s v="B999-0167"/>
        <s v="C430-0168"/>
        <s v="C740-0169"/>
        <s v="B445-0170"/>
        <s v="C754-0171"/>
        <s v="A805-0172"/>
        <s v="A426-0173"/>
        <s v="C373-0174"/>
        <s v="B691-0175"/>
        <s v="C502-0176"/>
        <s v="C769-0177"/>
        <s v="C512-0178"/>
        <s v="B561-0179"/>
        <s v="C303-0180"/>
        <s v="C627-0181"/>
        <s v="A645-0182"/>
        <s v="B744-0183"/>
        <s v="A274-0184"/>
        <s v="C255-0185"/>
        <s v="B778-0186"/>
        <s v="B838-0187"/>
        <s v="C821-0188"/>
        <s v="A504-0189"/>
        <s v="B319-0190"/>
        <s v="A331-0191"/>
        <s v="C261-0192"/>
        <s v="B191-0193"/>
        <s v="C993-0194"/>
        <s v="B605-0195"/>
        <s v="A114-0196"/>
        <s v="C627-0197"/>
        <s v="B341-0198"/>
        <s v="B163-0199"/>
        <s v="C326-0200"/>
        <s v="A875-0201"/>
        <s v="C677-0202"/>
        <s v="A834-0203"/>
        <s v="C159-0204"/>
        <s v="C452-0205"/>
        <s v="C884-0206"/>
        <s v="C236-0207"/>
        <s v="C874-0208"/>
        <s v="A258-0209"/>
        <s v="B708-0210"/>
        <s v="A894-0211"/>
        <s v="A342-0212"/>
        <s v="B537-0213"/>
        <s v="C407-0214"/>
        <s v="B526-0215"/>
        <s v="C841-0216"/>
        <s v="A672-0217"/>
        <s v="A872-0218"/>
        <s v="B467-0219"/>
        <s v="B523-0220"/>
        <s v="A335-0221"/>
        <s v="B571-0222"/>
        <s v="A959-0223"/>
        <s v="A482-0224"/>
        <s v="A648-0225"/>
        <s v="B358-0226"/>
        <s v="B800-0227"/>
        <s v="A184-0228"/>
        <s v="B808-0229"/>
        <s v="C970-0230"/>
        <s v="B954-0231"/>
        <s v="B958-0232"/>
        <s v="A484-0233"/>
        <s v="B828-0234"/>
        <s v="C204-0235"/>
        <s v="A667-0236"/>
        <s v="A801-0237"/>
        <s v="B406-0238"/>
        <s v="B411-0239"/>
        <s v="A239-0240"/>
        <s v="B689-0241"/>
        <s v="A658-0242"/>
        <s v="A748-0243"/>
        <s v="B510-0244"/>
        <s v="C773-0245"/>
        <s v="C439-0246"/>
        <s v="B556-0247"/>
        <s v="B525-0248"/>
        <s v="A548-0249"/>
        <s v="C268-0250"/>
        <s v="C290-0251"/>
        <s v="C319-0252"/>
        <s v="A368-0253"/>
        <s v="C732-0254"/>
        <s v="A244-0255"/>
        <s v="C760-0256"/>
        <s v="A596-0257"/>
        <s v="A554-0258"/>
        <s v="B272-0259"/>
        <s v="B323-0260"/>
        <s v="B220-0261"/>
        <s v="A924-0262"/>
        <s v="A626-0263"/>
        <s v="C828-0264"/>
        <s v="B913-0265"/>
        <s v="A892-0266"/>
        <s v="C944-0267"/>
        <s v="A907-0268"/>
        <s v="B538-0269"/>
        <s v="A780-0270"/>
        <s v="C318-0271"/>
        <s v="B980-0272"/>
        <s v="B240-0273"/>
        <s v="B318-0274"/>
        <s v="C493-0275"/>
        <s v="B391-0276"/>
        <s v="C912-0277"/>
        <s v="A235-0278"/>
        <s v="B320-0279"/>
        <s v="A649-0280"/>
        <s v="C749-0281"/>
        <s v="C726-0282"/>
        <s v="C267-0283"/>
        <s v="B165-0284"/>
        <s v="B891-0285"/>
        <s v="A253-0286"/>
        <s v="A614-0287"/>
        <s v="C418-0288"/>
        <s v="B477-0289"/>
        <s v="C454-0290"/>
        <s v="C529-0291"/>
        <s v="B569-0292"/>
        <s v="C233-0293"/>
        <s v="A307-0294"/>
        <s v="A888-0295"/>
        <s v="A813-0296"/>
        <s v="C366-0297"/>
        <s v="A243-0298"/>
        <s v="A700-0299"/>
        <s v="B572-0300"/>
        <s v="A291-0301"/>
        <s v="B663-0302"/>
        <s v="B921-0303"/>
        <s v="C376-0304"/>
        <s v="A338-0305"/>
        <s v="A959-0306"/>
        <s v="A681-0307"/>
        <s v="C324-0308"/>
        <s v="A964-0309"/>
        <s v="B778-0310"/>
        <s v="B824-0311"/>
        <s v="C281-0312"/>
        <s v="C608-0313"/>
        <s v="A846-0314"/>
        <s v="B495-0315"/>
        <s v="B907-0316"/>
        <s v="C175-0317"/>
        <s v="B821-0318"/>
        <s v="A519-0319"/>
        <s v="C469-0320"/>
        <s v="A753-0321"/>
        <s v="B657-0322"/>
        <s v="B957-0323"/>
        <s v="B703-0324"/>
        <s v="A180-0325"/>
        <s v="B533-0326"/>
        <s v="A669-0327"/>
        <s v="B253-0328"/>
        <s v="A597-0329"/>
        <s v="C505-0330"/>
        <s v="B963-0331"/>
        <s v="B191-0332"/>
        <s v="A826-0333"/>
        <s v="C567-0334"/>
        <s v="A347-0335"/>
        <s v="B364-0336"/>
        <s v="C311-0337"/>
        <s v="B722-0338"/>
        <s v="B944-0339"/>
        <s v="C800-0340"/>
        <s v="A767-0341"/>
        <s v="B838-0342"/>
        <s v="A935-0343"/>
        <s v="A960-0344"/>
        <s v="C327-0345"/>
        <s v="B220-0346"/>
        <s v="B155-0347"/>
        <s v="A182-0348"/>
        <s v="B262-0349"/>
        <s v="B646-0350"/>
        <s v="A354-0351"/>
        <s v="A405-0352"/>
        <s v="B931-0353"/>
        <s v="B475-0354"/>
        <s v="C769-0355"/>
        <s v="A811-0356"/>
        <s v="C950-0357"/>
        <s v="A306-0358"/>
        <s v="B787-0359"/>
        <s v="A403-0360"/>
        <s v="B218-0361"/>
        <s v="A850-0362"/>
        <s v="A919-0363"/>
        <s v="B682-0364"/>
        <s v="C233-0365"/>
        <s v="B794-0366"/>
        <s v="C454-0367"/>
        <s v="C580-0368"/>
        <s v="B487-0369"/>
        <s v="B609-0370"/>
        <s v="C752-0371"/>
        <s v="B714-0372"/>
        <s v="B398-0373"/>
        <s v="C292-0374"/>
        <s v="A957-0375"/>
        <s v="C666-0376"/>
        <s v="B429-0377"/>
        <s v="C236-0378"/>
        <s v="A831-0379"/>
        <s v="B218-0380"/>
        <s v="B490-0381"/>
        <s v="A807-0382"/>
        <s v="B860-0383"/>
        <s v="C907-0384"/>
        <s v="C763-0385"/>
        <s v="B141-0386"/>
        <s v="B140-0387"/>
        <s v="A824-0388"/>
        <s v="B457-0389"/>
        <s v="A764-0390"/>
        <s v="A490-0391"/>
        <s v="A144-0392"/>
        <s v="B315-0393"/>
        <s v="C570-0394"/>
        <s v="C364-0395"/>
        <s v="B756-0396"/>
        <s v="C188-0397"/>
        <s v="B500-0398"/>
        <s v="C105-0399"/>
        <s v="C288-0400"/>
        <s v="A397-0401"/>
        <s v="C340-0402"/>
        <s v="A256-0403"/>
        <s v="C383-0404"/>
        <s v="B721-0405"/>
        <s v="A695-0406"/>
        <s v="C328-0407"/>
        <s v="C968-0408"/>
        <s v="C467-0409"/>
        <s v="A910-0410"/>
        <s v="B748-0411"/>
        <s v="B328-0412"/>
        <s v="C335-0413"/>
        <s v="A438-0414"/>
        <s v="C144-0415"/>
        <s v="A629-0416"/>
        <s v="B715-0417"/>
        <s v="A494-0418"/>
        <s v="A587-0419"/>
        <s v="C634-0420"/>
        <s v="B879-0421"/>
        <s v="C293-0422"/>
        <s v="A536-0423"/>
        <s v="C523-0424"/>
        <s v="C507-0425"/>
        <s v="C920-0426"/>
        <s v="C165-0427"/>
        <s v="B711-0428"/>
        <s v="A815-0429"/>
        <s v="A504-0430"/>
        <s v="B456-0431"/>
        <s v="B618-0432"/>
        <s v="A486-0433"/>
        <s v="C364-0434"/>
        <s v="A952-0435"/>
        <s v="B323-0436"/>
        <s v="C371-0437"/>
        <s v="A779-0438"/>
        <s v="B882-0439"/>
        <s v="C133-0440"/>
        <s v="C112-0441"/>
        <s v="C375-0442"/>
        <s v="B284-0443"/>
        <s v="C856-0444"/>
        <s v="A598-0445"/>
        <s v="B198-0446"/>
        <s v="B988-0447"/>
        <s v="C574-0448"/>
        <s v="C173-0449"/>
        <s v="A555-0450"/>
        <s v="B817-0451"/>
        <s v="C506-0452"/>
        <s v="C390-0453"/>
        <s v="B578-0454"/>
        <s v="C751-0455"/>
        <s v="C259-0456"/>
        <s v="B603-0457"/>
        <s v="B674-0458"/>
        <s v="B345-0459"/>
        <s v="C213-0460"/>
        <s v="C647-0461"/>
        <s v="A322-0462"/>
        <s v="B894-0463"/>
        <s v="B889-0464"/>
        <s v="B419-0465"/>
        <s v="B469-0466"/>
        <s v="A908-0467"/>
        <s v="A354-0468"/>
        <s v="A910-0469"/>
        <s v="A805-0470"/>
        <s v="B294-0471"/>
        <s v="C560-0472"/>
        <s v="B894-0473"/>
        <s v="C664-0474"/>
        <s v="A232-0475"/>
        <s v="A638-0476"/>
        <s v="C952-0477"/>
        <s v="A851-0478"/>
        <s v="A638-0479"/>
        <s v="C819-0480"/>
        <s v="C714-0481"/>
        <s v="B431-0482"/>
        <s v="C135-0483"/>
        <s v="B666-0484"/>
        <s v="C362-0485"/>
        <s v="B806-0486"/>
        <s v="C936-0487"/>
        <s v="B636-0488"/>
        <s v="A556-0489"/>
        <s v="C863-0490"/>
        <s v="A504-0491"/>
        <s v="C523-0492"/>
        <s v="B731-0493"/>
        <s v="B973-0494"/>
        <s v="A412-0495"/>
        <s v="B661-0496"/>
        <s v="B908-0497"/>
        <s v="C775-0498"/>
        <s v="B423-0499"/>
        <s v="B412-0500"/>
        <s v="B613-0501"/>
        <s v="B502-0502"/>
        <s v="C256-0503"/>
        <s v="B307-0504"/>
        <s v="A645-0505"/>
        <s v="C863-0506"/>
        <s v="C727-0507"/>
        <s v="A580-0508"/>
        <s v="C115-0509"/>
        <s v="B601-0510"/>
        <s v="C860-0511"/>
        <s v="C140-0512"/>
        <s v="C727-0513"/>
        <s v="A502-0514"/>
        <s v="B764-0515"/>
        <s v="C844-0516"/>
        <s v="C248-0517"/>
        <s v="A307-0518"/>
        <s v="A702-0519"/>
        <s v="C743-0520"/>
        <s v="C717-0521"/>
        <s v="B816-0522"/>
        <s v="C939-0523"/>
        <s v="A314-0524"/>
        <s v="C907-0525"/>
        <s v="C729-0526"/>
        <s v="C576-0527"/>
        <s v="C317-0528"/>
        <s v="A216-0529"/>
        <s v="C788-0530"/>
        <s v="B933-0531"/>
        <s v="B439-0532"/>
        <s v="B498-0533"/>
        <s v="A480-0534"/>
        <s v="B125-0535"/>
        <s v="B628-0536"/>
        <s v="C803-0537"/>
        <s v="C876-0538"/>
        <s v="B252-0539"/>
        <s v="A426-0540"/>
        <s v="B233-0541"/>
        <s v="A706-0542"/>
        <s v="C195-0543"/>
        <s v="C731-0544"/>
        <s v="B215-0545"/>
        <s v="B937-0546"/>
        <s v="C735-0547"/>
        <s v="A450-0548"/>
        <s v="C668-0549"/>
        <s v="A488-0550"/>
        <s v="B563-0551"/>
        <s v="C795-0552"/>
        <s v="B662-0553"/>
        <s v="A425-0554"/>
        <s v="C493-0555"/>
        <s v="B838-0556"/>
        <s v="B621-0557"/>
        <s v="B342-0558"/>
        <s v="C694-0559"/>
        <s v="B190-0560"/>
        <s v="A111-0561"/>
        <s v="B711-0562"/>
        <s v="C928-0563"/>
        <s v="C381-0564"/>
        <s v="B367-0565"/>
        <s v="C257-0566"/>
        <s v="B370-0567"/>
        <s v="A499-0568"/>
        <s v="B642-0569"/>
        <s v="C921-0570"/>
        <s v="A806-0571"/>
        <s v="A556-0572"/>
        <s v="B955-0573"/>
        <s v="A289-0574"/>
        <s v="A783-0575"/>
        <s v="B932-0576"/>
        <s v="B247-0577"/>
        <s v="C845-0578"/>
        <s v="B437-0579"/>
        <s v="B937-0580"/>
        <s v="B973-0581"/>
        <s v="B812-0582"/>
        <s v="B707-0583"/>
        <s v="A157-0584"/>
        <s v="B338-0585"/>
        <s v="A114-0586"/>
        <s v="A918-0587"/>
        <s v="C429-0588"/>
        <s v="A268-0589"/>
        <s v="B107-0590"/>
        <s v="A635-0591"/>
        <s v="B190-0592"/>
        <s v="C983-0593"/>
        <s v="C585-0594"/>
        <s v="B442-0595"/>
        <s v="C172-0596"/>
        <s v="A855-0597"/>
        <s v="B724-0598"/>
        <s v="B132-0599"/>
        <s v="C402-0600"/>
        <s v="C321-0601"/>
        <s v="C705-0602"/>
        <s v="A929-0603"/>
        <s v="C344-0604"/>
        <s v="C565-0605"/>
        <s v="B742-0606"/>
        <s v="A906-0607"/>
        <s v="C576-0608"/>
        <s v="C442-0609"/>
        <s v="A615-0610"/>
        <s v="C581-0611"/>
        <s v="C283-0612"/>
        <s v="B123-0613"/>
        <s v="B992-0614"/>
        <s v="A661-0615"/>
        <s v="B395-0616"/>
        <s v="A279-0617"/>
        <s v="C310-0618"/>
        <s v="C125-0619"/>
        <s v="B402-0620"/>
        <s v="B242-0621"/>
        <s v="C756-0622"/>
        <s v="A503-0623"/>
        <s v="A537-0624"/>
        <s v="B554-0625"/>
        <s v="C312-0626"/>
        <s v="B379-0627"/>
        <s v="B143-0628"/>
        <s v="B755-0629"/>
        <s v="C129-0630"/>
        <s v="A743-0631"/>
        <s v="C427-0632"/>
        <s v="B642-0633"/>
        <s v="C946-0634"/>
        <s v="C113-0635"/>
        <s v="A292-0636"/>
        <s v="C471-0637"/>
        <s v="A332-0638"/>
        <s v="B875-0639"/>
        <s v="B144-0640"/>
        <s v="A129-0641"/>
        <s v="A201-0642"/>
        <s v="C319-0643"/>
        <s v="C534-0644"/>
        <s v="A880-0645"/>
        <s v="B803-0646"/>
        <s v="B113-0647"/>
        <s v="C204-0648"/>
        <s v="C534-0649"/>
        <s v="C717-0650"/>
        <s v="B237-0651"/>
        <s v="A410-0652"/>
        <s v="C616-0653"/>
        <s v="B136-0654"/>
        <s v="A212-0655"/>
        <s v="C486-0656"/>
        <s v="C697-0657"/>
        <s v="A340-0658"/>
        <s v="C138-0659"/>
        <s v="B430-0660"/>
        <s v="C729-0661"/>
        <s v="B687-0662"/>
        <s v="B643-0663"/>
        <s v="B304-0664"/>
        <s v="B291-0665"/>
        <s v="C544-0666"/>
        <s v="C980-0667"/>
        <s v="A216-0668"/>
        <s v="A137-0669"/>
        <s v="A839-0670"/>
        <s v="B192-0671"/>
        <s v="B637-0672"/>
        <s v="B861-0673"/>
        <s v="A157-0674"/>
        <s v="B832-0675"/>
        <s v="B787-0676"/>
        <s v="A497-0677"/>
        <s v="A931-0678"/>
        <s v="C939-0679"/>
        <s v="A128-0680"/>
        <s v="A213-0681"/>
        <s v="A803-0682"/>
        <s v="C123-0683"/>
        <s v="C252-0684"/>
        <s v="A830-0685"/>
        <s v="A943-0686"/>
        <s v="B354-0687"/>
        <s v="B825-0688"/>
        <s v="B786-0689"/>
        <s v="C672-0690"/>
        <s v="A543-0691"/>
        <s v="A389-0692"/>
        <s v="B550-0693"/>
        <s v="A218-0694"/>
        <s v="B987-0695"/>
        <s v="A676-0696"/>
        <s v="C436-0697"/>
        <s v="A824-0698"/>
        <s v="C563-0699"/>
        <s v="B716-0700"/>
        <s v="B512-0701"/>
        <s v="B198-0702"/>
        <s v="B532-0703"/>
        <s v="B802-0704"/>
        <s v="C920-0705"/>
        <s v="B664-0706"/>
        <s v="A463-0707"/>
        <s v="B997-0708"/>
        <s v="C180-0709"/>
        <s v="C571-0710"/>
        <s v="C409-0711"/>
        <s v="A765-0712"/>
        <s v="A256-0713"/>
        <s v="C953-0714"/>
        <s v="B667-0715"/>
        <s v="B640-0716"/>
        <s v="A455-0717"/>
        <s v="B701-0718"/>
        <s v="C583-0719"/>
        <s v="A203-0720"/>
        <s v="B278-0721"/>
        <s v="C448-0722"/>
        <s v="B548-0723"/>
        <s v="B220-0724"/>
        <s v="A472-0725"/>
        <s v="B275-0726"/>
        <s v="A642-0727"/>
        <s v="B553-0728"/>
        <s v="A776-0729"/>
        <s v="C994-0730"/>
        <s v="B310-0731"/>
        <s v="C842-0732"/>
        <s v="C128-0733"/>
        <s v="C462-0734"/>
        <s v="A679-0735"/>
        <s v="C353-0736"/>
        <s v="A233-0737"/>
        <s v="B992-0738"/>
        <s v="B828-0739"/>
        <s v="B221-0740"/>
        <s v="C483-0741"/>
        <s v="B320-0742"/>
        <s v="A563-0743"/>
        <s v="B783-0744"/>
        <s v="B146-0745"/>
        <s v="C760-0746"/>
        <s v="A119-0747"/>
        <s v="A511-0748"/>
        <s v="C193-0749"/>
        <s v="A160-0750"/>
        <s v="C431-0751"/>
        <s v="B494-0752"/>
        <s v="A119-0753"/>
        <s v="B751-0754"/>
        <s v="C101-0755"/>
        <s v="B459-0756"/>
        <s v="C225-0757"/>
        <s v="A824-0758"/>
        <s v="B808-0759"/>
        <s v="A502-0760"/>
        <s v="C466-0761"/>
        <s v="B387-0762"/>
        <s v="C604-0763"/>
        <s v="C665-0764"/>
        <s v="A846-0765"/>
        <s v="B537-0766"/>
        <s v="C470-0767"/>
        <s v="C442-0768"/>
        <s v="A741-0769"/>
        <s v="C584-0770"/>
        <s v="A740-0771"/>
        <s v="B552-0772"/>
        <s v="A732-0773"/>
        <s v="B791-0774"/>
        <s v="A960-0775"/>
        <s v="A161-0776"/>
        <s v="A416-0777"/>
        <s v="C619-0778"/>
        <s v="C587-0779"/>
        <s v="C565-0780"/>
        <s v="A886-0781"/>
        <s v="B217-0782"/>
        <s v="A324-0783"/>
        <s v="B793-0784"/>
        <s v="A639-0785"/>
        <s v="C425-0786"/>
        <s v="C154-0787"/>
        <s v="C271-0788"/>
        <s v="C606-0789"/>
        <s v="B562-0790"/>
        <s v="A237-0791"/>
        <s v="A561-0792"/>
        <s v="B371-0793"/>
        <s v="C333-0794"/>
        <s v="A863-0795"/>
        <s v="C454-0796"/>
        <s v="B585-0797"/>
        <s v="A560-0798"/>
        <s v="C447-0799"/>
        <s v="A132-0800"/>
        <s v="A500-0801"/>
        <s v="A791-0802"/>
        <s v="C338-0803"/>
        <s v="B213-0804"/>
        <s v="A780-0805"/>
        <s v="B944-0806"/>
        <s v="B761-0807"/>
        <s v="B568-0808"/>
        <s v="B782-0809"/>
        <s v="A898-0810"/>
        <s v="B791-0811"/>
        <s v="C239-0812"/>
        <s v="B940-0813"/>
        <s v="B179-0814"/>
        <s v="C813-0815"/>
        <s v="A355-0816"/>
        <s v="B325-0817"/>
        <s v="A312-0818"/>
        <s v="C423-0819"/>
        <s v="A323-0820"/>
        <s v="B746-0821"/>
        <s v="C699-0822"/>
        <s v="B855-0823"/>
        <s v="B138-0824"/>
        <s v="A334-0825"/>
        <s v="C722-0826"/>
        <s v="B244-0827"/>
        <s v="A418-0828"/>
        <s v="A306-0829"/>
        <s v="B543-0830"/>
        <s v="A279-0831"/>
        <s v="B832-0832"/>
        <s v="B860-0833"/>
        <s v="B679-0834"/>
        <s v="A159-0835"/>
        <s v="C814-0836"/>
        <s v="C961-0837"/>
        <s v="A997-0838"/>
        <s v="B521-0839"/>
        <s v="C507-0840"/>
        <s v="C770-0841"/>
        <s v="B561-0842"/>
        <s v="C739-0843"/>
        <s v="A589-0844"/>
        <s v="B910-0845"/>
        <s v="A451-0846"/>
        <s v="B991-0847"/>
        <s v="C774-0848"/>
        <s v="B853-0849"/>
        <s v="B977-0850"/>
        <s v="C609-0851"/>
        <s v="A274-0852"/>
        <s v="C363-0853"/>
        <s v="C329-0854"/>
        <s v="C328-0855"/>
        <s v="B230-0856"/>
        <s v="B916-0857"/>
        <s v="C611-0858"/>
        <s v="C226-0859"/>
        <s v="B850-0860"/>
        <s v="A532-0861"/>
        <s v="C661-0862"/>
        <s v="B240-0863"/>
        <s v="B204-0864"/>
        <s v="C153-0865"/>
        <s v="A409-0866"/>
        <s v="C555-0867"/>
        <s v="B686-0868"/>
        <s v="C405-0869"/>
        <s v="C937-0870"/>
        <s v="C285-0871"/>
        <s v="C265-0872"/>
        <s v="A773-0873"/>
        <s v="A602-0874"/>
        <s v="C292-0875"/>
        <s v="A532-0876"/>
        <s v="A811-0877"/>
        <s v="A719-0878"/>
        <s v="A227-0879"/>
        <s v="C331-0880"/>
        <s v="B996-0881"/>
        <s v="B149-0882"/>
        <s v="A365-0883"/>
        <s v="A794-0884"/>
        <s v="C633-0885"/>
        <s v="C847-0886"/>
        <s v="A848-0887"/>
        <s v="A951-0888"/>
        <s v="C721-0889"/>
        <s v="B274-0890"/>
        <s v="B318-0891"/>
        <s v="A106-0892"/>
        <s v="C541-0893"/>
        <s v="B772-0894"/>
        <s v="B549-0895"/>
        <s v="C391-0896"/>
        <s v="A372-0897"/>
        <s v="A963-0898"/>
        <s v="B342-0899"/>
        <s v="A539-0900"/>
        <s v="A823-0901"/>
        <s v="A296-0902"/>
        <s v="A336-0903"/>
        <s v="A387-0904"/>
        <s v="B317-0905"/>
        <s v="B199-0906"/>
        <s v="C382-0907"/>
        <s v="A297-0908"/>
        <s v="C306-0909"/>
        <s v="C834-0910"/>
        <s v="A232-0911"/>
        <s v="B269-0912"/>
        <s v="B813-0913"/>
        <s v="A646-0914"/>
        <s v="A943-0915"/>
        <s v="A370-0916"/>
        <s v="C386-0917"/>
        <s v="A749-0918"/>
        <s v="C847-0919"/>
        <s v="C280-0920"/>
        <s v="A171-0921"/>
        <s v="A112-0922"/>
        <s v="C374-0923"/>
        <s v="A554-0924"/>
        <s v="A944-0925"/>
        <s v="A494-0926"/>
        <s v="A329-0927"/>
        <s v="A538-0928"/>
        <s v="C611-0929"/>
        <s v="C557-0930"/>
        <s v="C494-0931"/>
        <s v="B769-0932"/>
        <s v="A694-0933"/>
        <s v="C236-0934"/>
        <s v="A531-0935"/>
        <s v="A534-0936"/>
        <s v="B180-0937"/>
        <s v="A640-0938"/>
        <s v="C757-0939"/>
        <s v="A685-0940"/>
        <s v="C510-0941"/>
        <s v="C768-0942"/>
        <s v="C179-0943"/>
        <s v="B416-0944"/>
        <s v="A422-0945"/>
        <s v="A232-0946"/>
        <s v="C491-0947"/>
        <s v="B320-0948"/>
        <s v="C447-0949"/>
        <s v="B256-0950"/>
        <s v="C273-0951"/>
        <s v="B364-0952"/>
        <s v="B510-0953"/>
        <s v="B560-0954"/>
        <s v="B683-0955"/>
        <s v="B937-0956"/>
        <s v="B450-0957"/>
        <s v="C581-0958"/>
        <s v="A318-0959"/>
        <s v="A514-0960"/>
        <s v="A871-0961"/>
        <s v="B547-0962"/>
        <s v="B248-0963"/>
        <s v="B633-0964"/>
        <s v="C530-0965"/>
        <s v="C116-0966"/>
        <s v="B536-0967"/>
        <s v="C490-0968"/>
        <s v="B521-0969"/>
        <s v="A895-0970"/>
        <s v="B858-0971"/>
        <s v="B104-0972"/>
        <s v="B685-0973"/>
        <s v="B499-0974"/>
        <s v="C746-0975"/>
        <s v="C743-0976"/>
        <s v="C564-0977"/>
        <s v="C926-0978"/>
        <s v="B213-0979"/>
        <s v="B312-0980"/>
        <s v="B421-0981"/>
        <s v="C220-0982"/>
        <s v="B297-0983"/>
        <s v="C241-0984"/>
        <s v="A578-0985"/>
        <s v="C834-0986"/>
        <s v="B556-0987"/>
        <s v="B747-0988"/>
        <s v="A760-0989"/>
        <s v="C772-0990"/>
        <s v="B681-0991"/>
        <s v="B722-0992"/>
        <s v="C610-0993"/>
        <s v="A121-0994"/>
        <s v="B116-0995"/>
        <s v="A420-0996"/>
        <s v="B205-0997"/>
        <s v="A841-0998"/>
        <s v="B804-0999"/>
        <s v="C251-1000"/>
      </sharedItems>
    </cacheField>
    <cacheField name="Branch" numFmtId="0">
      <sharedItems count="3">
        <s v="C"/>
        <s v="B"/>
        <s v="A"/>
      </sharedItems>
    </cacheField>
    <cacheField name="City" numFmtId="0">
      <sharedItems/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Fashion accessories"/>
        <s v="Health and beauty"/>
        <s v="Sports and travel"/>
        <s v="Food and beverages"/>
        <s v="Electronic accessories"/>
        <s v="Home and lifestyle"/>
      </sharedItems>
    </cacheField>
    <cacheField name="Unit price" numFmtId="0">
      <sharedItems containsSemiMixedTypes="0" containsString="0" containsNumber="1" minValue="10.06" maxValue="99.94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6999999999999995" maxValue="48.51"/>
    </cacheField>
    <cacheField name="Total" numFmtId="0">
      <sharedItems containsSemiMixedTypes="0" containsString="0" containsNumber="1" minValue="12.01" maxValue="1018.61"/>
    </cacheField>
    <cacheField name="Date" numFmtId="0">
      <sharedItems count="89">
        <s v="01/18/2019"/>
        <s v="03/06/2019"/>
        <s v="01/21/2019"/>
        <s v="03/19/2019"/>
        <s v="03/15/2019"/>
        <s v="03/23/2019"/>
        <s v="03/01/2019"/>
        <s v="02/21/2019"/>
        <s v="01/19/2019"/>
        <s v="03/07/2019"/>
        <s v="03/18/2019"/>
        <s v="02/25/2019"/>
        <s v="02/09/2019"/>
        <s v="03/26/2019"/>
        <s v="03/17/2019"/>
        <s v="01/10/2019"/>
        <s v="01/25/2019"/>
        <s v="01/08/2019"/>
        <s v="01/24/2019"/>
        <s v="01/12/2019"/>
        <s v="02/03/2019"/>
        <s v="03/16/2019"/>
        <s v="01/11/2019"/>
        <s v="03/27/2019"/>
        <s v="02/08/2019"/>
        <s v="03/12/2019"/>
        <s v="03/13/2019"/>
        <s v="01/17/2019"/>
        <s v="02/15/2019"/>
        <s v="02/22/2019"/>
        <s v="01/26/2019"/>
        <s v="02/05/2019"/>
        <s v="01/23/2019"/>
        <s v="02/19/2019"/>
        <s v="03/21/2019"/>
        <s v="01/31/2019"/>
        <s v="01/09/2019"/>
        <s v="01/03/2019"/>
        <s v="01/22/2019"/>
        <s v="02/02/2019"/>
        <s v="02/01/2019"/>
        <s v="01/16/2019"/>
        <s v="01/14/2019"/>
        <s v="03/20/2019"/>
        <s v="03/04/2019"/>
        <s v="02/28/2019"/>
        <s v="01/15/2019"/>
        <s v="02/06/2019"/>
        <s v="02/04/2019"/>
        <s v="01/04/2019"/>
        <s v="03/02/2019"/>
        <s v="02/12/2019"/>
        <s v="01/05/2019"/>
        <s v="02/16/2019"/>
        <s v="02/13/2019"/>
        <s v="01/06/2019"/>
        <s v="02/10/2019"/>
        <s v="01/30/2019"/>
        <s v="03/22/2019"/>
        <s v="02/11/2019"/>
        <s v="02/07/2019"/>
        <s v="03/28/2019"/>
        <s v="03/25/2019"/>
        <s v="03/11/2019"/>
        <s v="02/26/2019"/>
        <s v="03/29/2019"/>
        <s v="02/14/2019"/>
        <s v="02/17/2019"/>
        <s v="02/27/2019"/>
        <s v="01/28/2019"/>
        <s v="03/09/2019"/>
        <s v="03/10/2019"/>
        <s v="03/08/2019"/>
        <s v="01/07/2019"/>
        <s v="02/23/2019"/>
        <s v="01/13/2019"/>
        <s v="03/03/2019"/>
        <s v="01/02/2019"/>
        <s v="01/01/2019"/>
        <s v="02/18/2019"/>
        <s v="03/24/2019"/>
        <s v="03/30/2019"/>
        <s v="01/20/2019"/>
        <s v="01/27/2019"/>
        <s v="02/24/2019"/>
        <s v="03/05/2019"/>
        <s v="03/14/2019"/>
        <s v="02/20/2019"/>
        <s v="01/29/2019"/>
      </sharedItems>
    </cacheField>
    <cacheField name="Time" numFmtId="0">
      <sharedItems/>
    </cacheField>
    <cacheField name="Payment" numFmtId="0">
      <sharedItems count="3">
        <s v="Ewallet"/>
        <s v="Credit card"/>
        <s v="Cash"/>
      </sharedItems>
    </cacheField>
    <cacheField name="cogs" numFmtId="0">
      <sharedItems containsSemiMixedTypes="0" containsString="0" containsNumber="1" minValue="11.44" maxValue="970.1"/>
    </cacheField>
    <cacheField name="gross margin percentage" numFmtId="0">
      <sharedItems containsSemiMixedTypes="0" containsString="0" containsNumber="1" minValue="4.7618999999999998" maxValue="4.7618999999999998"/>
    </cacheField>
    <cacheField name="gross income" numFmtId="0">
      <sharedItems containsSemiMixedTypes="0" containsString="0" containsNumber="1" minValue="0.56999999999999995" maxValue="48.51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5.00984525463" createdVersion="8" refreshedVersion="8" minRefreshableVersion="3" recordCount="1000" xr:uid="{CD572B82-A3FA-44C9-AD58-5C345D49EC06}">
  <cacheSource type="worksheet">
    <worksheetSource ref="A1:R1001" sheet="Raw Data"/>
  </cacheSource>
  <cacheFields count="20">
    <cacheField name="Invoice ID" numFmtId="0">
      <sharedItems/>
    </cacheField>
    <cacheField name="Branch" numFmtId="0">
      <sharedItems/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0">
      <sharedItems containsSemiMixedTypes="0" containsString="0" containsNumber="1" minValue="10.06" maxValue="99.94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6999999999999995" maxValue="48.51"/>
    </cacheField>
    <cacheField name="Total" numFmtId="0">
      <sharedItems containsSemiMixedTypes="0" containsString="0" containsNumber="1" minValue="12.01" maxValue="1018.61"/>
    </cacheField>
    <cacheField name="Date" numFmtId="0">
      <sharedItems count="89">
        <s v="01/18/2019"/>
        <s v="03/06/2019"/>
        <s v="01/21/2019"/>
        <s v="03/19/2019"/>
        <s v="03/15/2019"/>
        <s v="03/23/2019"/>
        <s v="03/01/2019"/>
        <s v="02/21/2019"/>
        <s v="01/19/2019"/>
        <s v="03/07/2019"/>
        <s v="03/18/2019"/>
        <s v="02/25/2019"/>
        <s v="02/09/2019"/>
        <s v="03/26/2019"/>
        <s v="03/17/2019"/>
        <s v="01/10/2019"/>
        <s v="01/25/2019"/>
        <s v="01/08/2019"/>
        <s v="01/24/2019"/>
        <s v="01/12/2019"/>
        <s v="02/03/2019"/>
        <s v="03/16/2019"/>
        <s v="01/11/2019"/>
        <s v="03/27/2019"/>
        <s v="02/08/2019"/>
        <s v="03/12/2019"/>
        <s v="03/13/2019"/>
        <s v="01/17/2019"/>
        <s v="02/15/2019"/>
        <s v="02/22/2019"/>
        <s v="01/26/2019"/>
        <s v="02/05/2019"/>
        <s v="01/23/2019"/>
        <s v="02/19/2019"/>
        <s v="03/21/2019"/>
        <s v="01/31/2019"/>
        <s v="01/09/2019"/>
        <s v="01/03/2019"/>
        <s v="01/22/2019"/>
        <s v="02/02/2019"/>
        <s v="02/01/2019"/>
        <s v="01/16/2019"/>
        <s v="01/14/2019"/>
        <s v="03/20/2019"/>
        <s v="03/04/2019"/>
        <s v="02/28/2019"/>
        <s v="01/15/2019"/>
        <s v="02/06/2019"/>
        <s v="02/04/2019"/>
        <s v="01/04/2019"/>
        <s v="03/02/2019"/>
        <s v="02/12/2019"/>
        <s v="01/05/2019"/>
        <s v="02/16/2019"/>
        <s v="02/13/2019"/>
        <s v="01/06/2019"/>
        <s v="02/10/2019"/>
        <s v="01/30/2019"/>
        <s v="03/22/2019"/>
        <s v="02/11/2019"/>
        <s v="02/07/2019"/>
        <s v="03/28/2019"/>
        <s v="03/25/2019"/>
        <s v="03/11/2019"/>
        <s v="02/26/2019"/>
        <s v="03/29/2019"/>
        <s v="02/14/2019"/>
        <s v="02/17/2019"/>
        <s v="02/27/2019"/>
        <s v="01/28/2019"/>
        <s v="03/09/2019"/>
        <s v="03/10/2019"/>
        <s v="03/08/2019"/>
        <s v="01/07/2019"/>
        <s v="02/23/2019"/>
        <s v="01/13/2019"/>
        <s v="03/03/2019"/>
        <s v="01/02/2019"/>
        <s v="01/01/2019"/>
        <s v="02/18/2019"/>
        <s v="03/24/2019"/>
        <s v="03/30/2019"/>
        <s v="01/20/2019"/>
        <s v="01/27/2019"/>
        <s v="02/24/2019"/>
        <s v="03/05/2019"/>
        <s v="03/14/2019"/>
        <s v="02/20/2019"/>
        <s v="01/29/2019"/>
      </sharedItems>
    </cacheField>
    <cacheField name="Time" numFmtId="0">
      <sharedItems/>
    </cacheField>
    <cacheField name="Payment" numFmtId="0">
      <sharedItems/>
    </cacheField>
    <cacheField name="cogs" numFmtId="0">
      <sharedItems containsSemiMixedTypes="0" containsString="0" containsNumber="1" minValue="11.44" maxValue="970.1"/>
    </cacheField>
    <cacheField name="gross margin percentage" numFmtId="0">
      <sharedItems containsSemiMixedTypes="0" containsString="0" containsNumber="1" minValue="4.7618999999999998" maxValue="4.7618999999999998"/>
    </cacheField>
    <cacheField name="gross income" numFmtId="0">
      <sharedItems containsSemiMixedTypes="0" containsString="0" containsNumber="1" minValue="0.56999999999999995" maxValue="48.51"/>
    </cacheField>
    <cacheField name="Rating" numFmtId="0">
      <sharedItems containsSemiMixedTypes="0" containsString="0" containsNumber="1" minValue="4" maxValue="10"/>
    </cacheField>
    <cacheField name="Corrected Dates" numFmtId="14">
      <sharedItems containsSemiMixedTypes="0" containsNonDate="0" containsDate="1" containsString="0" minDate="2019-01-01T00:00:00" maxDate="2019-03-31T00:00:00" count="89">
        <d v="2019-01-18T00:00:00"/>
        <d v="2019-03-06T00:00:00"/>
        <d v="2019-01-21T00:00:00"/>
        <d v="2019-03-19T00:00:00"/>
        <d v="2019-03-15T00:00:00"/>
        <d v="2019-03-23T00:00:00"/>
        <d v="2019-03-01T00:00:00"/>
        <d v="2019-02-21T00:00:00"/>
        <d v="2019-01-19T00:00:00"/>
        <d v="2019-03-07T00:00:00"/>
        <d v="2019-03-18T00:00:00"/>
        <d v="2019-02-25T00:00:00"/>
        <d v="2019-02-09T00:00:00"/>
        <d v="2019-03-26T00:00:00"/>
        <d v="2019-03-17T00:00:00"/>
        <d v="2019-01-10T00:00:00"/>
        <d v="2019-01-25T00:00:00"/>
        <d v="2019-01-08T00:00:00"/>
        <d v="2019-01-24T00:00:00"/>
        <d v="2019-01-12T00:00:00"/>
        <d v="2019-02-03T00:00:00"/>
        <d v="2019-03-16T00:00:00"/>
        <d v="2019-01-11T00:00:00"/>
        <d v="2019-03-27T00:00:00"/>
        <d v="2019-02-08T00:00:00"/>
        <d v="2019-03-12T00:00:00"/>
        <d v="2019-03-13T00:00:00"/>
        <d v="2019-01-17T00:00:00"/>
        <d v="2019-02-15T00:00:00"/>
        <d v="2019-02-22T00:00:00"/>
        <d v="2019-01-26T00:00:00"/>
        <d v="2019-02-05T00:00:00"/>
        <d v="2019-01-23T00:00:00"/>
        <d v="2019-02-19T00:00:00"/>
        <d v="2019-03-21T00:00:00"/>
        <d v="2019-01-31T00:00:00"/>
        <d v="2019-01-09T00:00:00"/>
        <d v="2019-01-03T00:00:00"/>
        <d v="2019-01-22T00:00:00"/>
        <d v="2019-02-02T00:00:00"/>
        <d v="2019-02-01T00:00:00"/>
        <d v="2019-01-16T00:00:00"/>
        <d v="2019-01-14T00:00:00"/>
        <d v="2019-03-20T00:00:00"/>
        <d v="2019-03-04T00:00:00"/>
        <d v="2019-02-28T00:00:00"/>
        <d v="2019-01-15T00:00:00"/>
        <d v="2019-02-06T00:00:00"/>
        <d v="2019-02-04T00:00:00"/>
        <d v="2019-01-04T00:00:00"/>
        <d v="2019-03-02T00:00:00"/>
        <d v="2019-02-12T00:00:00"/>
        <d v="2019-01-05T00:00:00"/>
        <d v="2019-02-16T00:00:00"/>
        <d v="2019-02-13T00:00:00"/>
        <d v="2019-01-06T00:00:00"/>
        <d v="2019-02-10T00:00:00"/>
        <d v="2019-01-30T00:00:00"/>
        <d v="2019-03-22T00:00:00"/>
        <d v="2019-02-11T00:00:00"/>
        <d v="2019-02-07T00:00:00"/>
        <d v="2019-03-28T00:00:00"/>
        <d v="2019-03-25T00:00:00"/>
        <d v="2019-03-11T00:00:00"/>
        <d v="2019-02-26T00:00:00"/>
        <d v="2019-03-29T00:00:00"/>
        <d v="2019-02-14T00:00:00"/>
        <d v="2019-02-17T00:00:00"/>
        <d v="2019-02-27T00:00:00"/>
        <d v="2019-01-28T00:00:00"/>
        <d v="2019-03-09T00:00:00"/>
        <d v="2019-03-10T00:00:00"/>
        <d v="2019-03-08T00:00:00"/>
        <d v="2019-01-07T00:00:00"/>
        <d v="2019-02-23T00:00:00"/>
        <d v="2019-01-13T00:00:00"/>
        <d v="2019-03-03T00:00:00"/>
        <d v="2019-01-02T00:00:00"/>
        <d v="2019-01-01T00:00:00"/>
        <d v="2019-02-18T00:00:00"/>
        <d v="2019-03-24T00:00:00"/>
        <d v="2019-03-30T00:00:00"/>
        <d v="2019-01-20T00:00:00"/>
        <d v="2019-01-27T00:00:00"/>
        <d v="2019-02-24T00:00:00"/>
        <d v="2019-03-05T00:00:00"/>
        <d v="2019-03-14T00:00:00"/>
        <d v="2019-02-20T00:00:00"/>
        <d v="2019-01-29T00:00:00"/>
      </sharedItems>
      <fieldGroup par="19"/>
    </cacheField>
    <cacheField name="Months (Corrected Dates)" numFmtId="0" databaseField="0">
      <fieldGroup base="17">
        <rangePr groupBy="months" startDate="2019-01-01T00:00:00" endDate="2019-03-31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19"/>
        </groupItems>
      </fieldGroup>
    </cacheField>
    <cacheField name="Years (Corrected Dates)" numFmtId="0" databaseField="0">
      <fieldGroup base="17">
        <rangePr groupBy="years" startDate="2019-01-01T00:00:00" endDate="2019-03-31T00:00:00"/>
        <groupItems count="3">
          <s v="&lt;1/1/2019"/>
          <s v="2019"/>
          <s v="&gt;3/31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Naypyitaw"/>
    <x v="0"/>
    <s v="Female"/>
    <x v="0"/>
    <n v="34.75"/>
    <n v="4"/>
    <n v="6.95"/>
    <n v="145.94999999999999"/>
    <x v="0"/>
    <s v="11:50"/>
    <x v="0"/>
    <n v="139"/>
    <n v="4.7618999999999998"/>
    <n v="6.95"/>
    <n v="9.4"/>
  </r>
  <r>
    <x v="1"/>
    <x v="0"/>
    <s v="Naypyitaw"/>
    <x v="1"/>
    <s v="Female"/>
    <x v="1"/>
    <n v="18.43"/>
    <n v="4"/>
    <n v="3.69"/>
    <n v="77.41"/>
    <x v="1"/>
    <s v="19:00"/>
    <x v="0"/>
    <n v="73.72"/>
    <n v="4.7618999999999998"/>
    <n v="3.69"/>
    <n v="5.2"/>
  </r>
  <r>
    <x v="2"/>
    <x v="0"/>
    <s v="Naypyitaw"/>
    <x v="1"/>
    <s v="Female"/>
    <x v="2"/>
    <n v="63.03"/>
    <n v="1"/>
    <n v="3.15"/>
    <n v="66.180000000000007"/>
    <x v="2"/>
    <s v="16:25"/>
    <x v="1"/>
    <n v="63.03"/>
    <n v="4.7618999999999998"/>
    <n v="3.15"/>
    <n v="4.9000000000000004"/>
  </r>
  <r>
    <x v="3"/>
    <x v="1"/>
    <s v="Mandalay"/>
    <x v="0"/>
    <s v="Female"/>
    <x v="2"/>
    <n v="18.7"/>
    <n v="6"/>
    <n v="5.61"/>
    <n v="117.81"/>
    <x v="3"/>
    <s v="14:00"/>
    <x v="0"/>
    <n v="112.2"/>
    <n v="4.7618999999999998"/>
    <n v="5.61"/>
    <n v="6.8"/>
  </r>
  <r>
    <x v="4"/>
    <x v="1"/>
    <s v="Mandalay"/>
    <x v="0"/>
    <s v="Male"/>
    <x v="0"/>
    <n v="65.67"/>
    <n v="6"/>
    <n v="19.7"/>
    <n v="413.72"/>
    <x v="4"/>
    <s v="13:55"/>
    <x v="2"/>
    <n v="394.02"/>
    <n v="4.7618999999999998"/>
    <n v="19.7"/>
    <n v="4.3"/>
  </r>
  <r>
    <x v="5"/>
    <x v="1"/>
    <s v="Mandalay"/>
    <x v="0"/>
    <s v="Female"/>
    <x v="1"/>
    <n v="44.21"/>
    <n v="8"/>
    <n v="17.68"/>
    <n v="371.36"/>
    <x v="5"/>
    <s v="15:10"/>
    <x v="1"/>
    <n v="353.68"/>
    <n v="4.7618999999999998"/>
    <n v="17.68"/>
    <n v="6.1"/>
  </r>
  <r>
    <x v="6"/>
    <x v="1"/>
    <s v="Mandalay"/>
    <x v="0"/>
    <s v="Female"/>
    <x v="3"/>
    <n v="75.62"/>
    <n v="3"/>
    <n v="11.34"/>
    <n v="238.2"/>
    <x v="6"/>
    <s v="16:20"/>
    <x v="0"/>
    <n v="226.86"/>
    <n v="4.7618999999999998"/>
    <n v="11.34"/>
    <n v="8.1"/>
  </r>
  <r>
    <x v="7"/>
    <x v="0"/>
    <s v="Naypyitaw"/>
    <x v="1"/>
    <s v="Female"/>
    <x v="4"/>
    <n v="83.96"/>
    <n v="6"/>
    <n v="25.19"/>
    <n v="528.95000000000005"/>
    <x v="7"/>
    <s v="14:05"/>
    <x v="2"/>
    <n v="503.76"/>
    <n v="4.7618999999999998"/>
    <n v="25.19"/>
    <n v="9.5"/>
  </r>
  <r>
    <x v="8"/>
    <x v="0"/>
    <s v="Naypyitaw"/>
    <x v="1"/>
    <s v="Female"/>
    <x v="0"/>
    <n v="54.93"/>
    <n v="8"/>
    <n v="21.97"/>
    <n v="461.41"/>
    <x v="8"/>
    <s v="14:10"/>
    <x v="2"/>
    <n v="439.44"/>
    <n v="4.7618999999999998"/>
    <n v="21.97"/>
    <n v="8.5"/>
  </r>
  <r>
    <x v="9"/>
    <x v="1"/>
    <s v="Mandalay"/>
    <x v="1"/>
    <s v="Male"/>
    <x v="5"/>
    <n v="29.74"/>
    <n v="3"/>
    <n v="4.46"/>
    <n v="93.68"/>
    <x v="9"/>
    <s v="17:05"/>
    <x v="2"/>
    <n v="89.22"/>
    <n v="4.7618999999999998"/>
    <n v="4.46"/>
    <n v="9.1999999999999993"/>
  </r>
  <r>
    <x v="10"/>
    <x v="0"/>
    <s v="Naypyitaw"/>
    <x v="0"/>
    <s v="Male"/>
    <x v="3"/>
    <n v="15.72"/>
    <n v="7"/>
    <n v="5.5"/>
    <n v="115.54"/>
    <x v="10"/>
    <s v="17:40"/>
    <x v="1"/>
    <n v="110.04"/>
    <n v="4.7618999999999998"/>
    <n v="5.5"/>
    <n v="9.8000000000000007"/>
  </r>
  <r>
    <x v="11"/>
    <x v="2"/>
    <s v="Yangon"/>
    <x v="0"/>
    <s v="Male"/>
    <x v="0"/>
    <n v="40.619999999999997"/>
    <n v="5"/>
    <n v="10.16"/>
    <n v="213.26"/>
    <x v="11"/>
    <s v="12:35"/>
    <x v="2"/>
    <n v="203.1"/>
    <n v="4.7618999999999998"/>
    <n v="10.16"/>
    <n v="9.6999999999999993"/>
  </r>
  <r>
    <x v="12"/>
    <x v="0"/>
    <s v="Naypyitaw"/>
    <x v="1"/>
    <s v="Female"/>
    <x v="3"/>
    <n v="92.14"/>
    <n v="5"/>
    <n v="23.04"/>
    <n v="483.74"/>
    <x v="5"/>
    <s v="18:45"/>
    <x v="2"/>
    <n v="460.7"/>
    <n v="4.7618999999999998"/>
    <n v="23.04"/>
    <n v="4.9000000000000004"/>
  </r>
  <r>
    <x v="13"/>
    <x v="2"/>
    <s v="Yangon"/>
    <x v="0"/>
    <s v="Male"/>
    <x v="2"/>
    <n v="11.75"/>
    <n v="6"/>
    <n v="3.53"/>
    <n v="74.03"/>
    <x v="12"/>
    <s v="13:00"/>
    <x v="2"/>
    <n v="70.5"/>
    <n v="4.7618999999999998"/>
    <n v="3.53"/>
    <n v="9.3000000000000007"/>
  </r>
  <r>
    <x v="14"/>
    <x v="2"/>
    <s v="Yangon"/>
    <x v="1"/>
    <s v="Female"/>
    <x v="3"/>
    <n v="78.930000000000007"/>
    <n v="3"/>
    <n v="11.84"/>
    <n v="248.63"/>
    <x v="13"/>
    <s v="17:40"/>
    <x v="2"/>
    <n v="236.79"/>
    <n v="4.7618999999999998"/>
    <n v="11.84"/>
    <n v="5.6"/>
  </r>
  <r>
    <x v="15"/>
    <x v="0"/>
    <s v="Naypyitaw"/>
    <x v="1"/>
    <s v="Female"/>
    <x v="3"/>
    <n v="77.97"/>
    <n v="4"/>
    <n v="15.59"/>
    <n v="327.47000000000003"/>
    <x v="12"/>
    <s v="16:50"/>
    <x v="0"/>
    <n v="311.88"/>
    <n v="4.7618999999999998"/>
    <n v="15.59"/>
    <n v="6.2"/>
  </r>
  <r>
    <x v="16"/>
    <x v="1"/>
    <s v="Mandalay"/>
    <x v="0"/>
    <s v="Female"/>
    <x v="4"/>
    <n v="15.76"/>
    <n v="1"/>
    <n v="0.79"/>
    <n v="16.55"/>
    <x v="14"/>
    <s v="18:15"/>
    <x v="0"/>
    <n v="15.76"/>
    <n v="4.7618999999999998"/>
    <n v="0.79"/>
    <n v="5.3"/>
  </r>
  <r>
    <x v="17"/>
    <x v="0"/>
    <s v="Naypyitaw"/>
    <x v="0"/>
    <s v="Female"/>
    <x v="1"/>
    <n v="91.49"/>
    <n v="6"/>
    <n v="27.45"/>
    <n v="576.39"/>
    <x v="15"/>
    <s v="18:15"/>
    <x v="1"/>
    <n v="548.94000000000005"/>
    <n v="4.7618999999999998"/>
    <n v="27.45"/>
    <n v="8"/>
  </r>
  <r>
    <x v="18"/>
    <x v="0"/>
    <s v="Naypyitaw"/>
    <x v="0"/>
    <s v="Male"/>
    <x v="4"/>
    <n v="80.62"/>
    <n v="7"/>
    <n v="28.22"/>
    <n v="592.55999999999995"/>
    <x v="16"/>
    <s v="11:05"/>
    <x v="0"/>
    <n v="564.34"/>
    <n v="4.7618999999999998"/>
    <n v="28.22"/>
    <n v="6.6"/>
  </r>
  <r>
    <x v="19"/>
    <x v="1"/>
    <s v="Mandalay"/>
    <x v="1"/>
    <s v="Female"/>
    <x v="0"/>
    <n v="68.81"/>
    <n v="2"/>
    <n v="6.88"/>
    <n v="144.5"/>
    <x v="17"/>
    <s v="16:55"/>
    <x v="1"/>
    <n v="137.62"/>
    <n v="4.7618999999999998"/>
    <n v="6.88"/>
    <n v="8.8000000000000007"/>
  </r>
  <r>
    <x v="20"/>
    <x v="2"/>
    <s v="Yangon"/>
    <x v="0"/>
    <s v="Female"/>
    <x v="3"/>
    <n v="50.38"/>
    <n v="7"/>
    <n v="17.63"/>
    <n v="370.29"/>
    <x v="18"/>
    <s v="14:35"/>
    <x v="2"/>
    <n v="352.66"/>
    <n v="4.7618999999999998"/>
    <n v="17.63"/>
    <n v="9.1999999999999993"/>
  </r>
  <r>
    <x v="21"/>
    <x v="1"/>
    <s v="Mandalay"/>
    <x v="0"/>
    <s v="Female"/>
    <x v="0"/>
    <n v="99.94"/>
    <n v="1"/>
    <n v="5"/>
    <n v="104.94"/>
    <x v="19"/>
    <s v="13:10"/>
    <x v="1"/>
    <n v="99.94"/>
    <n v="4.7618999999999998"/>
    <n v="5"/>
    <n v="6.9"/>
  </r>
  <r>
    <x v="22"/>
    <x v="1"/>
    <s v="Mandalay"/>
    <x v="0"/>
    <s v="Female"/>
    <x v="2"/>
    <n v="10.19"/>
    <n v="7"/>
    <n v="3.57"/>
    <n v="74.900000000000006"/>
    <x v="20"/>
    <s v="17:20"/>
    <x v="1"/>
    <n v="71.33"/>
    <n v="4.7618999999999998"/>
    <n v="3.57"/>
    <n v="8.1999999999999993"/>
  </r>
  <r>
    <x v="23"/>
    <x v="0"/>
    <s v="Naypyitaw"/>
    <x v="1"/>
    <s v="Female"/>
    <x v="4"/>
    <n v="36.700000000000003"/>
    <n v="1"/>
    <n v="1.84"/>
    <n v="38.54"/>
    <x v="21"/>
    <s v="18:00"/>
    <x v="0"/>
    <n v="36.700000000000003"/>
    <n v="4.7618999999999998"/>
    <n v="1.84"/>
    <n v="5.9"/>
  </r>
  <r>
    <x v="24"/>
    <x v="0"/>
    <s v="Naypyitaw"/>
    <x v="1"/>
    <s v="Female"/>
    <x v="1"/>
    <n v="96.47"/>
    <n v="2"/>
    <n v="9.65"/>
    <n v="202.59"/>
    <x v="18"/>
    <s v="11:45"/>
    <x v="2"/>
    <n v="192.94"/>
    <n v="4.7618999999999998"/>
    <n v="9.65"/>
    <n v="8.1"/>
  </r>
  <r>
    <x v="25"/>
    <x v="1"/>
    <s v="Mandalay"/>
    <x v="0"/>
    <s v="Female"/>
    <x v="3"/>
    <n v="63.51"/>
    <n v="10"/>
    <n v="31.76"/>
    <n v="666.86"/>
    <x v="22"/>
    <s v="16:50"/>
    <x v="0"/>
    <n v="635.1"/>
    <n v="4.7618999999999998"/>
    <n v="31.76"/>
    <n v="7.4"/>
  </r>
  <r>
    <x v="26"/>
    <x v="1"/>
    <s v="Mandalay"/>
    <x v="0"/>
    <s v="Male"/>
    <x v="4"/>
    <n v="33.909999999999997"/>
    <n v="3"/>
    <n v="5.09"/>
    <n v="106.82"/>
    <x v="23"/>
    <s v="20:20"/>
    <x v="1"/>
    <n v="101.73"/>
    <n v="4.7618999999999998"/>
    <n v="5.09"/>
    <n v="5.9"/>
  </r>
  <r>
    <x v="27"/>
    <x v="2"/>
    <s v="Yangon"/>
    <x v="0"/>
    <s v="Male"/>
    <x v="3"/>
    <n v="99.86"/>
    <n v="2"/>
    <n v="9.99"/>
    <n v="209.71"/>
    <x v="15"/>
    <s v="18:15"/>
    <x v="0"/>
    <n v="199.72"/>
    <n v="4.7618999999999998"/>
    <n v="9.99"/>
    <n v="5.6"/>
  </r>
  <r>
    <x v="28"/>
    <x v="2"/>
    <s v="Yangon"/>
    <x v="0"/>
    <s v="Male"/>
    <x v="5"/>
    <n v="24.2"/>
    <n v="9"/>
    <n v="10.89"/>
    <n v="228.69"/>
    <x v="24"/>
    <s v="19:50"/>
    <x v="0"/>
    <n v="217.8"/>
    <n v="4.7618999999999998"/>
    <n v="10.89"/>
    <n v="4"/>
  </r>
  <r>
    <x v="29"/>
    <x v="0"/>
    <s v="Naypyitaw"/>
    <x v="1"/>
    <s v="Female"/>
    <x v="4"/>
    <n v="33.799999999999997"/>
    <n v="2"/>
    <n v="3.38"/>
    <n v="70.98"/>
    <x v="25"/>
    <s v="12:20"/>
    <x v="1"/>
    <n v="67.599999999999994"/>
    <n v="4.7618999999999998"/>
    <n v="3.38"/>
    <n v="7.6"/>
  </r>
  <r>
    <x v="30"/>
    <x v="1"/>
    <s v="Mandalay"/>
    <x v="0"/>
    <s v="Male"/>
    <x v="3"/>
    <n v="53.97"/>
    <n v="1"/>
    <n v="2.7"/>
    <n v="56.67"/>
    <x v="19"/>
    <s v="20:30"/>
    <x v="1"/>
    <n v="53.97"/>
    <n v="4.7618999999999998"/>
    <n v="2.7"/>
    <n v="4.3"/>
  </r>
  <r>
    <x v="31"/>
    <x v="2"/>
    <s v="Yangon"/>
    <x v="1"/>
    <s v="Female"/>
    <x v="0"/>
    <n v="49.77"/>
    <n v="7"/>
    <n v="17.420000000000002"/>
    <n v="365.81"/>
    <x v="26"/>
    <s v="10:05"/>
    <x v="2"/>
    <n v="348.39"/>
    <n v="4.7618999999999998"/>
    <n v="17.420000000000002"/>
    <n v="9.6999999999999993"/>
  </r>
  <r>
    <x v="32"/>
    <x v="2"/>
    <s v="Yangon"/>
    <x v="0"/>
    <s v="Male"/>
    <x v="3"/>
    <n v="59.73"/>
    <n v="7"/>
    <n v="20.91"/>
    <n v="439.02"/>
    <x v="27"/>
    <s v="10:20"/>
    <x v="1"/>
    <n v="418.11"/>
    <n v="4.7618999999999998"/>
    <n v="20.91"/>
    <n v="9.4"/>
  </r>
  <r>
    <x v="33"/>
    <x v="2"/>
    <s v="Yangon"/>
    <x v="1"/>
    <s v="Female"/>
    <x v="0"/>
    <n v="32.46"/>
    <n v="2"/>
    <n v="3.25"/>
    <n v="68.17"/>
    <x v="28"/>
    <s v="18:30"/>
    <x v="0"/>
    <n v="64.92"/>
    <n v="4.7618999999999998"/>
    <n v="3.25"/>
    <n v="8.5"/>
  </r>
  <r>
    <x v="34"/>
    <x v="2"/>
    <s v="Yangon"/>
    <x v="0"/>
    <s v="Male"/>
    <x v="1"/>
    <n v="26.14"/>
    <n v="6"/>
    <n v="7.84"/>
    <n v="164.68"/>
    <x v="29"/>
    <s v="20:55"/>
    <x v="2"/>
    <n v="156.84"/>
    <n v="4.7618999999999998"/>
    <n v="7.84"/>
    <n v="5.6"/>
  </r>
  <r>
    <x v="35"/>
    <x v="0"/>
    <s v="Naypyitaw"/>
    <x v="0"/>
    <s v="Male"/>
    <x v="1"/>
    <n v="87.27"/>
    <n v="4"/>
    <n v="17.45"/>
    <n v="366.53"/>
    <x v="30"/>
    <s v="17:25"/>
    <x v="1"/>
    <n v="349.08"/>
    <n v="4.7618999999999998"/>
    <n v="17.45"/>
    <n v="8.9"/>
  </r>
  <r>
    <x v="36"/>
    <x v="2"/>
    <s v="Yangon"/>
    <x v="0"/>
    <s v="Female"/>
    <x v="0"/>
    <n v="27.38"/>
    <n v="6"/>
    <n v="8.2100000000000009"/>
    <n v="172.49"/>
    <x v="31"/>
    <s v="11:20"/>
    <x v="1"/>
    <n v="164.28"/>
    <n v="4.7618999999999998"/>
    <n v="8.2100000000000009"/>
    <n v="7.8"/>
  </r>
  <r>
    <x v="37"/>
    <x v="0"/>
    <s v="Naypyitaw"/>
    <x v="1"/>
    <s v="Female"/>
    <x v="1"/>
    <n v="88.93"/>
    <n v="5"/>
    <n v="22.23"/>
    <n v="466.88"/>
    <x v="32"/>
    <s v="19:20"/>
    <x v="2"/>
    <n v="444.65"/>
    <n v="4.7618999999999998"/>
    <n v="22.23"/>
    <n v="4.7"/>
  </r>
  <r>
    <x v="38"/>
    <x v="1"/>
    <s v="Mandalay"/>
    <x v="1"/>
    <s v="Male"/>
    <x v="3"/>
    <n v="98.58"/>
    <n v="2"/>
    <n v="9.86"/>
    <n v="207.02"/>
    <x v="33"/>
    <s v="19:15"/>
    <x v="1"/>
    <n v="197.16"/>
    <n v="4.7618999999999998"/>
    <n v="9.86"/>
    <n v="4.3"/>
  </r>
  <r>
    <x v="39"/>
    <x v="2"/>
    <s v="Yangon"/>
    <x v="0"/>
    <s v="Male"/>
    <x v="2"/>
    <n v="16.3"/>
    <n v="6"/>
    <n v="4.8899999999999997"/>
    <n v="102.69"/>
    <x v="34"/>
    <s v="15:50"/>
    <x v="2"/>
    <n v="97.8"/>
    <n v="4.7618999999999998"/>
    <n v="4.8899999999999997"/>
    <n v="8.3000000000000007"/>
  </r>
  <r>
    <x v="40"/>
    <x v="0"/>
    <s v="Naypyitaw"/>
    <x v="1"/>
    <s v="Male"/>
    <x v="5"/>
    <n v="46.22"/>
    <n v="5"/>
    <n v="11.55"/>
    <n v="242.65"/>
    <x v="25"/>
    <s v="12:15"/>
    <x v="1"/>
    <n v="231.1"/>
    <n v="4.7618999999999998"/>
    <n v="11.55"/>
    <n v="8"/>
  </r>
  <r>
    <x v="41"/>
    <x v="0"/>
    <s v="Naypyitaw"/>
    <x v="0"/>
    <s v="Male"/>
    <x v="2"/>
    <n v="59.31"/>
    <n v="1"/>
    <n v="2.97"/>
    <n v="62.28"/>
    <x v="24"/>
    <s v="14:15"/>
    <x v="1"/>
    <n v="59.31"/>
    <n v="4.7618999999999998"/>
    <n v="2.97"/>
    <n v="8.6999999999999993"/>
  </r>
  <r>
    <x v="42"/>
    <x v="0"/>
    <s v="Naypyitaw"/>
    <x v="1"/>
    <s v="Male"/>
    <x v="2"/>
    <n v="49.79"/>
    <n v="4"/>
    <n v="9.9600000000000009"/>
    <n v="209.12"/>
    <x v="9"/>
    <s v="17:55"/>
    <x v="2"/>
    <n v="199.16"/>
    <n v="4.7618999999999998"/>
    <n v="9.9600000000000009"/>
    <n v="8"/>
  </r>
  <r>
    <x v="43"/>
    <x v="0"/>
    <s v="Naypyitaw"/>
    <x v="1"/>
    <s v="Female"/>
    <x v="4"/>
    <n v="70.55"/>
    <n v="4"/>
    <n v="14.11"/>
    <n v="296.31"/>
    <x v="30"/>
    <s v="12:00"/>
    <x v="2"/>
    <n v="282.2"/>
    <n v="4.7618999999999998"/>
    <n v="14.11"/>
    <n v="5.5"/>
  </r>
  <r>
    <x v="44"/>
    <x v="0"/>
    <s v="Naypyitaw"/>
    <x v="0"/>
    <s v="Male"/>
    <x v="2"/>
    <n v="89.75"/>
    <n v="10"/>
    <n v="44.88"/>
    <n v="942.38"/>
    <x v="16"/>
    <s v="16:35"/>
    <x v="1"/>
    <n v="897.5"/>
    <n v="4.7618999999999998"/>
    <n v="44.88"/>
    <n v="5.5"/>
  </r>
  <r>
    <x v="45"/>
    <x v="0"/>
    <s v="Naypyitaw"/>
    <x v="0"/>
    <s v="Female"/>
    <x v="2"/>
    <n v="29.7"/>
    <n v="9"/>
    <n v="13.37"/>
    <n v="280.67"/>
    <x v="6"/>
    <s v="10:40"/>
    <x v="2"/>
    <n v="267.3"/>
    <n v="4.7618999999999998"/>
    <n v="13.37"/>
    <n v="9.5"/>
  </r>
  <r>
    <x v="46"/>
    <x v="1"/>
    <s v="Mandalay"/>
    <x v="0"/>
    <s v="Male"/>
    <x v="0"/>
    <n v="57.8"/>
    <n v="9"/>
    <n v="26.01"/>
    <n v="546.21"/>
    <x v="10"/>
    <s v="15:35"/>
    <x v="0"/>
    <n v="520.20000000000005"/>
    <n v="4.7618999999999998"/>
    <n v="26.01"/>
    <n v="8.9"/>
  </r>
  <r>
    <x v="47"/>
    <x v="1"/>
    <s v="Mandalay"/>
    <x v="1"/>
    <s v="Female"/>
    <x v="0"/>
    <n v="87.53"/>
    <n v="8"/>
    <n v="35.01"/>
    <n v="735.25"/>
    <x v="20"/>
    <s v="13:50"/>
    <x v="1"/>
    <n v="700.24"/>
    <n v="4.7618999999999998"/>
    <n v="35.01"/>
    <n v="8.6"/>
  </r>
  <r>
    <x v="48"/>
    <x v="1"/>
    <s v="Mandalay"/>
    <x v="0"/>
    <s v="Male"/>
    <x v="2"/>
    <n v="16.97"/>
    <n v="5"/>
    <n v="4.24"/>
    <n v="89.09"/>
    <x v="35"/>
    <s v="14:25"/>
    <x v="1"/>
    <n v="84.85"/>
    <n v="4.7618999999999998"/>
    <n v="4.24"/>
    <n v="9.4"/>
  </r>
  <r>
    <x v="49"/>
    <x v="2"/>
    <s v="Yangon"/>
    <x v="0"/>
    <s v="Female"/>
    <x v="2"/>
    <n v="72.459999999999994"/>
    <n v="4"/>
    <n v="14.49"/>
    <n v="304.33"/>
    <x v="36"/>
    <s v="16:30"/>
    <x v="1"/>
    <n v="289.83999999999997"/>
    <n v="4.7618999999999998"/>
    <n v="14.49"/>
    <n v="7.3"/>
  </r>
  <r>
    <x v="50"/>
    <x v="2"/>
    <s v="Yangon"/>
    <x v="0"/>
    <s v="Male"/>
    <x v="2"/>
    <n v="91.44"/>
    <n v="10"/>
    <n v="45.72"/>
    <n v="960.12"/>
    <x v="37"/>
    <s v="19:30"/>
    <x v="1"/>
    <n v="914.4"/>
    <n v="4.7618999999999998"/>
    <n v="45.72"/>
    <n v="4"/>
  </r>
  <r>
    <x v="51"/>
    <x v="1"/>
    <s v="Mandalay"/>
    <x v="1"/>
    <s v="Male"/>
    <x v="3"/>
    <n v="77.28"/>
    <n v="9"/>
    <n v="34.78"/>
    <n v="730.3"/>
    <x v="3"/>
    <s v="13:35"/>
    <x v="2"/>
    <n v="695.52"/>
    <n v="4.7618999999999998"/>
    <n v="34.78"/>
    <n v="5.6"/>
  </r>
  <r>
    <x v="52"/>
    <x v="2"/>
    <s v="Yangon"/>
    <x v="1"/>
    <s v="Male"/>
    <x v="0"/>
    <n v="71.12"/>
    <n v="7"/>
    <n v="24.89"/>
    <n v="522.73"/>
    <x v="38"/>
    <s v="17:10"/>
    <x v="0"/>
    <n v="497.84"/>
    <n v="4.7618999999999998"/>
    <n v="24.89"/>
    <n v="7.2"/>
  </r>
  <r>
    <x v="53"/>
    <x v="0"/>
    <s v="Naypyitaw"/>
    <x v="0"/>
    <s v="Female"/>
    <x v="0"/>
    <n v="48.58"/>
    <n v="8"/>
    <n v="19.43"/>
    <n v="408.07"/>
    <x v="18"/>
    <s v="10:20"/>
    <x v="1"/>
    <n v="388.64"/>
    <n v="4.7618999999999998"/>
    <n v="19.43"/>
    <n v="6"/>
  </r>
  <r>
    <x v="54"/>
    <x v="1"/>
    <s v="Mandalay"/>
    <x v="1"/>
    <s v="Male"/>
    <x v="5"/>
    <n v="77.680000000000007"/>
    <n v="7"/>
    <n v="27.19"/>
    <n v="570.95000000000005"/>
    <x v="39"/>
    <s v="11:35"/>
    <x v="2"/>
    <n v="543.76"/>
    <n v="4.7618999999999998"/>
    <n v="27.19"/>
    <n v="8.5"/>
  </r>
  <r>
    <x v="55"/>
    <x v="1"/>
    <s v="Mandalay"/>
    <x v="0"/>
    <s v="Female"/>
    <x v="0"/>
    <n v="13.62"/>
    <n v="1"/>
    <n v="0.68"/>
    <n v="14.3"/>
    <x v="40"/>
    <s v="13:00"/>
    <x v="0"/>
    <n v="13.62"/>
    <n v="4.7618999999999998"/>
    <n v="0.68"/>
    <n v="4.9000000000000004"/>
  </r>
  <r>
    <x v="56"/>
    <x v="1"/>
    <s v="Mandalay"/>
    <x v="0"/>
    <s v="Female"/>
    <x v="2"/>
    <n v="72.95"/>
    <n v="6"/>
    <n v="21.89"/>
    <n v="459.59"/>
    <x v="38"/>
    <s v="19:45"/>
    <x v="0"/>
    <n v="437.7"/>
    <n v="4.7618999999999998"/>
    <n v="21.89"/>
    <n v="8.3000000000000007"/>
  </r>
  <r>
    <x v="57"/>
    <x v="2"/>
    <s v="Yangon"/>
    <x v="1"/>
    <s v="Female"/>
    <x v="3"/>
    <n v="12.31"/>
    <n v="5"/>
    <n v="3.08"/>
    <n v="64.63"/>
    <x v="4"/>
    <s v="20:30"/>
    <x v="1"/>
    <n v="61.55"/>
    <n v="4.7618999999999998"/>
    <n v="3.08"/>
    <n v="9.6"/>
  </r>
  <r>
    <x v="58"/>
    <x v="2"/>
    <s v="Yangon"/>
    <x v="0"/>
    <s v="Female"/>
    <x v="0"/>
    <n v="79.52"/>
    <n v="10"/>
    <n v="39.76"/>
    <n v="834.96"/>
    <x v="41"/>
    <s v="19:00"/>
    <x v="1"/>
    <n v="795.2"/>
    <n v="4.7618999999999998"/>
    <n v="39.76"/>
    <n v="7.2"/>
  </r>
  <r>
    <x v="59"/>
    <x v="1"/>
    <s v="Mandalay"/>
    <x v="0"/>
    <s v="Male"/>
    <x v="1"/>
    <n v="86.46"/>
    <n v="8"/>
    <n v="34.58"/>
    <n v="726.26"/>
    <x v="42"/>
    <s v="16:25"/>
    <x v="0"/>
    <n v="691.68"/>
    <n v="4.7618999999999998"/>
    <n v="34.58"/>
    <n v="9.3000000000000007"/>
  </r>
  <r>
    <x v="60"/>
    <x v="0"/>
    <s v="Naypyitaw"/>
    <x v="0"/>
    <s v="Male"/>
    <x v="4"/>
    <n v="76.040000000000006"/>
    <n v="5"/>
    <n v="19.010000000000002"/>
    <n v="399.21"/>
    <x v="43"/>
    <s v="18:35"/>
    <x v="1"/>
    <n v="380.2"/>
    <n v="4.7618999999999998"/>
    <n v="19.010000000000002"/>
    <n v="6.6"/>
  </r>
  <r>
    <x v="61"/>
    <x v="0"/>
    <s v="Naypyitaw"/>
    <x v="1"/>
    <s v="Male"/>
    <x v="4"/>
    <n v="84.77"/>
    <n v="2"/>
    <n v="8.48"/>
    <n v="178.02"/>
    <x v="31"/>
    <s v="17:15"/>
    <x v="1"/>
    <n v="169.54"/>
    <n v="4.7618999999999998"/>
    <n v="8.48"/>
    <n v="7.4"/>
  </r>
  <r>
    <x v="62"/>
    <x v="1"/>
    <s v="Mandalay"/>
    <x v="1"/>
    <s v="Female"/>
    <x v="2"/>
    <n v="86.59"/>
    <n v="3"/>
    <n v="12.99"/>
    <n v="272.76"/>
    <x v="44"/>
    <s v="13:25"/>
    <x v="1"/>
    <n v="259.77"/>
    <n v="4.7618999999999998"/>
    <n v="12.99"/>
    <n v="6"/>
  </r>
  <r>
    <x v="63"/>
    <x v="0"/>
    <s v="Naypyitaw"/>
    <x v="1"/>
    <s v="Female"/>
    <x v="3"/>
    <n v="95.33"/>
    <n v="2"/>
    <n v="9.5299999999999994"/>
    <n v="200.19"/>
    <x v="35"/>
    <s v="16:35"/>
    <x v="0"/>
    <n v="190.66"/>
    <n v="4.7618999999999998"/>
    <n v="9.5299999999999994"/>
    <n v="8.5"/>
  </r>
  <r>
    <x v="64"/>
    <x v="1"/>
    <s v="Mandalay"/>
    <x v="1"/>
    <s v="Male"/>
    <x v="1"/>
    <n v="18.37"/>
    <n v="4"/>
    <n v="3.67"/>
    <n v="77.150000000000006"/>
    <x v="7"/>
    <s v="13:20"/>
    <x v="0"/>
    <n v="73.48"/>
    <n v="4.7618999999999998"/>
    <n v="3.67"/>
    <n v="7.5"/>
  </r>
  <r>
    <x v="65"/>
    <x v="0"/>
    <s v="Naypyitaw"/>
    <x v="1"/>
    <s v="Male"/>
    <x v="0"/>
    <n v="59.53"/>
    <n v="6"/>
    <n v="17.86"/>
    <n v="375.04"/>
    <x v="45"/>
    <s v="14:20"/>
    <x v="1"/>
    <n v="357.18"/>
    <n v="4.7618999999999998"/>
    <n v="17.86"/>
    <n v="5.4"/>
  </r>
  <r>
    <x v="66"/>
    <x v="2"/>
    <s v="Yangon"/>
    <x v="1"/>
    <s v="Female"/>
    <x v="0"/>
    <n v="58.23"/>
    <n v="3"/>
    <n v="8.73"/>
    <n v="183.42"/>
    <x v="16"/>
    <s v="13:55"/>
    <x v="1"/>
    <n v="174.69"/>
    <n v="4.7618999999999998"/>
    <n v="8.73"/>
    <n v="5.7"/>
  </r>
  <r>
    <x v="67"/>
    <x v="0"/>
    <s v="Naypyitaw"/>
    <x v="1"/>
    <s v="Female"/>
    <x v="4"/>
    <n v="36.659999999999997"/>
    <n v="6"/>
    <n v="11"/>
    <n v="230.96"/>
    <x v="32"/>
    <s v="14:00"/>
    <x v="0"/>
    <n v="219.96"/>
    <n v="4.7618999999999998"/>
    <n v="11"/>
    <n v="7.2"/>
  </r>
  <r>
    <x v="68"/>
    <x v="2"/>
    <s v="Yangon"/>
    <x v="0"/>
    <s v="Male"/>
    <x v="0"/>
    <n v="94.97"/>
    <n v="8"/>
    <n v="37.99"/>
    <n v="797.75"/>
    <x v="42"/>
    <s v="10:45"/>
    <x v="1"/>
    <n v="759.76"/>
    <n v="4.7618999999999998"/>
    <n v="37.99"/>
    <n v="6.8"/>
  </r>
  <r>
    <x v="69"/>
    <x v="1"/>
    <s v="Mandalay"/>
    <x v="0"/>
    <s v="Female"/>
    <x v="5"/>
    <n v="94.7"/>
    <n v="8"/>
    <n v="37.880000000000003"/>
    <n v="795.48"/>
    <x v="46"/>
    <s v="11:30"/>
    <x v="1"/>
    <n v="757.6"/>
    <n v="4.7618999999999998"/>
    <n v="37.880000000000003"/>
    <n v="4.4000000000000004"/>
  </r>
  <r>
    <x v="70"/>
    <x v="0"/>
    <s v="Naypyitaw"/>
    <x v="0"/>
    <s v="Female"/>
    <x v="4"/>
    <n v="83"/>
    <n v="5"/>
    <n v="20.75"/>
    <n v="435.75"/>
    <x v="22"/>
    <s v="13:05"/>
    <x v="0"/>
    <n v="415"/>
    <n v="4.7618999999999998"/>
    <n v="20.75"/>
    <n v="8.6"/>
  </r>
  <r>
    <x v="71"/>
    <x v="0"/>
    <s v="Naypyitaw"/>
    <x v="0"/>
    <s v="Male"/>
    <x v="2"/>
    <n v="91.77"/>
    <n v="5"/>
    <n v="22.94"/>
    <n v="481.79"/>
    <x v="14"/>
    <s v="16:20"/>
    <x v="0"/>
    <n v="458.85"/>
    <n v="4.7618999999999998"/>
    <n v="22.94"/>
    <n v="7.7"/>
  </r>
  <r>
    <x v="72"/>
    <x v="0"/>
    <s v="Naypyitaw"/>
    <x v="0"/>
    <s v="Female"/>
    <x v="0"/>
    <n v="28.99"/>
    <n v="2"/>
    <n v="2.9"/>
    <n v="60.88"/>
    <x v="2"/>
    <s v="13:10"/>
    <x v="0"/>
    <n v="57.98"/>
    <n v="4.7618999999999998"/>
    <n v="2.9"/>
    <n v="4.5"/>
  </r>
  <r>
    <x v="73"/>
    <x v="1"/>
    <s v="Mandalay"/>
    <x v="1"/>
    <s v="Male"/>
    <x v="5"/>
    <n v="12.94"/>
    <n v="5"/>
    <n v="3.24"/>
    <n v="67.94"/>
    <x v="47"/>
    <s v="17:05"/>
    <x v="0"/>
    <n v="64.7"/>
    <n v="4.7618999999999998"/>
    <n v="3.24"/>
    <n v="5.4"/>
  </r>
  <r>
    <x v="74"/>
    <x v="0"/>
    <s v="Naypyitaw"/>
    <x v="0"/>
    <s v="Male"/>
    <x v="1"/>
    <n v="59.01"/>
    <n v="3"/>
    <n v="8.85"/>
    <n v="185.88"/>
    <x v="48"/>
    <s v="12:05"/>
    <x v="2"/>
    <n v="177.03"/>
    <n v="4.7618999999999998"/>
    <n v="8.85"/>
    <n v="5"/>
  </r>
  <r>
    <x v="75"/>
    <x v="0"/>
    <s v="Naypyitaw"/>
    <x v="1"/>
    <s v="Male"/>
    <x v="1"/>
    <n v="52.18"/>
    <n v="5"/>
    <n v="13.04"/>
    <n v="273.94"/>
    <x v="7"/>
    <s v="14:40"/>
    <x v="0"/>
    <n v="260.89999999999998"/>
    <n v="4.7618999999999998"/>
    <n v="13.04"/>
    <n v="7"/>
  </r>
  <r>
    <x v="76"/>
    <x v="0"/>
    <s v="Naypyitaw"/>
    <x v="0"/>
    <s v="Male"/>
    <x v="0"/>
    <n v="39.01"/>
    <n v="5"/>
    <n v="9.75"/>
    <n v="204.8"/>
    <x v="49"/>
    <s v="11:15"/>
    <x v="0"/>
    <n v="195.05"/>
    <n v="4.7618999999999998"/>
    <n v="9.75"/>
    <n v="9"/>
  </r>
  <r>
    <x v="77"/>
    <x v="0"/>
    <s v="Naypyitaw"/>
    <x v="0"/>
    <s v="Male"/>
    <x v="3"/>
    <n v="13.62"/>
    <n v="3"/>
    <n v="2.04"/>
    <n v="42.9"/>
    <x v="50"/>
    <s v="18:50"/>
    <x v="1"/>
    <n v="40.86"/>
    <n v="4.7618999999999998"/>
    <n v="2.04"/>
    <n v="9.5"/>
  </r>
  <r>
    <x v="78"/>
    <x v="0"/>
    <s v="Naypyitaw"/>
    <x v="1"/>
    <s v="Male"/>
    <x v="1"/>
    <n v="52.3"/>
    <n v="7"/>
    <n v="18.309999999999999"/>
    <n v="384.41"/>
    <x v="51"/>
    <s v="15:50"/>
    <x v="2"/>
    <n v="366.1"/>
    <n v="4.7618999999999998"/>
    <n v="18.309999999999999"/>
    <n v="9.1"/>
  </r>
  <r>
    <x v="79"/>
    <x v="1"/>
    <s v="Mandalay"/>
    <x v="1"/>
    <s v="Male"/>
    <x v="0"/>
    <n v="95.07"/>
    <n v="9"/>
    <n v="42.78"/>
    <n v="898.41"/>
    <x v="52"/>
    <s v="17:05"/>
    <x v="1"/>
    <n v="855.63"/>
    <n v="4.7618999999999998"/>
    <n v="42.78"/>
    <n v="5.5"/>
  </r>
  <r>
    <x v="80"/>
    <x v="1"/>
    <s v="Mandalay"/>
    <x v="0"/>
    <s v="Male"/>
    <x v="2"/>
    <n v="14.88"/>
    <n v="9"/>
    <n v="6.7"/>
    <n v="140.62"/>
    <x v="53"/>
    <s v="19:35"/>
    <x v="0"/>
    <n v="133.91999999999999"/>
    <n v="4.7618999999999998"/>
    <n v="6.7"/>
    <n v="6.7"/>
  </r>
  <r>
    <x v="81"/>
    <x v="2"/>
    <s v="Yangon"/>
    <x v="1"/>
    <s v="Female"/>
    <x v="5"/>
    <n v="49.43"/>
    <n v="8"/>
    <n v="19.77"/>
    <n v="415.21"/>
    <x v="41"/>
    <s v="10:50"/>
    <x v="0"/>
    <n v="395.44"/>
    <n v="4.7618999999999998"/>
    <n v="19.77"/>
    <n v="8.8000000000000007"/>
  </r>
  <r>
    <x v="82"/>
    <x v="2"/>
    <s v="Yangon"/>
    <x v="1"/>
    <s v="Female"/>
    <x v="3"/>
    <n v="46.72"/>
    <n v="4"/>
    <n v="9.34"/>
    <n v="196.22"/>
    <x v="46"/>
    <s v="17:05"/>
    <x v="0"/>
    <n v="186.88"/>
    <n v="4.7618999999999998"/>
    <n v="9.34"/>
    <n v="9"/>
  </r>
  <r>
    <x v="83"/>
    <x v="0"/>
    <s v="Naypyitaw"/>
    <x v="1"/>
    <s v="Male"/>
    <x v="2"/>
    <n v="85.13"/>
    <n v="8"/>
    <n v="34.049999999999997"/>
    <n v="715.09"/>
    <x v="40"/>
    <s v="17:40"/>
    <x v="2"/>
    <n v="681.04"/>
    <n v="4.7618999999999998"/>
    <n v="34.049999999999997"/>
    <n v="6.3"/>
  </r>
  <r>
    <x v="84"/>
    <x v="0"/>
    <s v="Naypyitaw"/>
    <x v="0"/>
    <s v="Female"/>
    <x v="5"/>
    <n v="79.540000000000006"/>
    <n v="7"/>
    <n v="27.84"/>
    <n v="584.62"/>
    <x v="54"/>
    <s v="18:20"/>
    <x v="2"/>
    <n v="556.78"/>
    <n v="4.7618999999999998"/>
    <n v="27.84"/>
    <n v="5.7"/>
  </r>
  <r>
    <x v="85"/>
    <x v="0"/>
    <s v="Naypyitaw"/>
    <x v="1"/>
    <s v="Female"/>
    <x v="2"/>
    <n v="58.47"/>
    <n v="6"/>
    <n v="17.54"/>
    <n v="368.36"/>
    <x v="51"/>
    <s v="18:40"/>
    <x v="1"/>
    <n v="350.82"/>
    <n v="4.7618999999999998"/>
    <n v="17.54"/>
    <n v="6.7"/>
  </r>
  <r>
    <x v="86"/>
    <x v="2"/>
    <s v="Yangon"/>
    <x v="0"/>
    <s v="Male"/>
    <x v="4"/>
    <n v="87.04"/>
    <n v="7"/>
    <n v="30.46"/>
    <n v="639.74"/>
    <x v="55"/>
    <s v="15:55"/>
    <x v="1"/>
    <n v="609.28"/>
    <n v="4.7618999999999998"/>
    <n v="30.46"/>
    <n v="8.1999999999999993"/>
  </r>
  <r>
    <x v="87"/>
    <x v="1"/>
    <s v="Mandalay"/>
    <x v="1"/>
    <s v="Female"/>
    <x v="2"/>
    <n v="96.83"/>
    <n v="3"/>
    <n v="14.52"/>
    <n v="305.01"/>
    <x v="1"/>
    <s v="19:25"/>
    <x v="2"/>
    <n v="290.49"/>
    <n v="4.7618999999999998"/>
    <n v="14.52"/>
    <n v="9.1999999999999993"/>
  </r>
  <r>
    <x v="88"/>
    <x v="2"/>
    <s v="Yangon"/>
    <x v="1"/>
    <s v="Female"/>
    <x v="0"/>
    <n v="22.97"/>
    <n v="3"/>
    <n v="3.45"/>
    <n v="72.36"/>
    <x v="15"/>
    <s v="17:20"/>
    <x v="1"/>
    <n v="68.91"/>
    <n v="4.7618999999999998"/>
    <n v="3.45"/>
    <n v="7.7"/>
  </r>
  <r>
    <x v="89"/>
    <x v="0"/>
    <s v="Naypyitaw"/>
    <x v="0"/>
    <s v="Male"/>
    <x v="0"/>
    <n v="87.34"/>
    <n v="7"/>
    <n v="30.57"/>
    <n v="641.95000000000005"/>
    <x v="56"/>
    <s v="20:55"/>
    <x v="1"/>
    <n v="611.38"/>
    <n v="4.7618999999999998"/>
    <n v="30.57"/>
    <n v="9.1999999999999993"/>
  </r>
  <r>
    <x v="90"/>
    <x v="0"/>
    <s v="Naypyitaw"/>
    <x v="0"/>
    <s v="Female"/>
    <x v="0"/>
    <n v="71.599999999999994"/>
    <n v="5"/>
    <n v="17.899999999999999"/>
    <n v="375.9"/>
    <x v="57"/>
    <s v="11:30"/>
    <x v="2"/>
    <n v="358"/>
    <n v="4.7618999999999998"/>
    <n v="17.899999999999999"/>
    <n v="8.6"/>
  </r>
  <r>
    <x v="91"/>
    <x v="2"/>
    <s v="Yangon"/>
    <x v="1"/>
    <s v="Female"/>
    <x v="0"/>
    <n v="36.950000000000003"/>
    <n v="1"/>
    <n v="1.85"/>
    <n v="38.799999999999997"/>
    <x v="55"/>
    <s v="15:00"/>
    <x v="1"/>
    <n v="36.950000000000003"/>
    <n v="4.7618999999999998"/>
    <n v="1.85"/>
    <n v="6.2"/>
  </r>
  <r>
    <x v="92"/>
    <x v="2"/>
    <s v="Yangon"/>
    <x v="0"/>
    <s v="Male"/>
    <x v="3"/>
    <n v="71.36"/>
    <n v="3"/>
    <n v="10.7"/>
    <n v="224.78"/>
    <x v="38"/>
    <s v="12:05"/>
    <x v="0"/>
    <n v="214.08"/>
    <n v="4.7618999999999998"/>
    <n v="10.7"/>
    <n v="9.1999999999999993"/>
  </r>
  <r>
    <x v="93"/>
    <x v="0"/>
    <s v="Naypyitaw"/>
    <x v="0"/>
    <s v="Male"/>
    <x v="3"/>
    <n v="22.88"/>
    <n v="8"/>
    <n v="9.15"/>
    <n v="192.19"/>
    <x v="5"/>
    <s v="14:35"/>
    <x v="1"/>
    <n v="183.04"/>
    <n v="4.7618999999999998"/>
    <n v="9.15"/>
    <n v="8"/>
  </r>
  <r>
    <x v="94"/>
    <x v="1"/>
    <s v="Mandalay"/>
    <x v="1"/>
    <s v="Female"/>
    <x v="1"/>
    <n v="49.76"/>
    <n v="6"/>
    <n v="14.93"/>
    <n v="313.49"/>
    <x v="14"/>
    <s v="14:50"/>
    <x v="1"/>
    <n v="298.56"/>
    <n v="4.7618999999999998"/>
    <n v="14.93"/>
    <n v="8.1"/>
  </r>
  <r>
    <x v="95"/>
    <x v="1"/>
    <s v="Mandalay"/>
    <x v="0"/>
    <s v="Male"/>
    <x v="2"/>
    <n v="19.600000000000001"/>
    <n v="7"/>
    <n v="6.86"/>
    <n v="144.06"/>
    <x v="4"/>
    <s v="15:45"/>
    <x v="1"/>
    <n v="137.19999999999999"/>
    <n v="4.7618999999999998"/>
    <n v="6.86"/>
    <n v="10"/>
  </r>
  <r>
    <x v="96"/>
    <x v="2"/>
    <s v="Yangon"/>
    <x v="1"/>
    <s v="Male"/>
    <x v="1"/>
    <n v="60.93"/>
    <n v="1"/>
    <n v="3.05"/>
    <n v="63.98"/>
    <x v="3"/>
    <s v="17:20"/>
    <x v="2"/>
    <n v="60.93"/>
    <n v="4.7618999999999998"/>
    <n v="3.05"/>
    <n v="7.6"/>
  </r>
  <r>
    <x v="97"/>
    <x v="2"/>
    <s v="Yangon"/>
    <x v="0"/>
    <s v="Male"/>
    <x v="0"/>
    <n v="78"/>
    <n v="3"/>
    <n v="11.7"/>
    <n v="245.7"/>
    <x v="58"/>
    <s v="11:50"/>
    <x v="0"/>
    <n v="234"/>
    <n v="4.7618999999999998"/>
    <n v="11.7"/>
    <n v="4.2"/>
  </r>
  <r>
    <x v="98"/>
    <x v="1"/>
    <s v="Mandalay"/>
    <x v="0"/>
    <s v="Male"/>
    <x v="0"/>
    <n v="21.83"/>
    <n v="5"/>
    <n v="5.46"/>
    <n v="114.61"/>
    <x v="59"/>
    <s v="16:10"/>
    <x v="2"/>
    <n v="109.15"/>
    <n v="4.7618999999999998"/>
    <n v="5.46"/>
    <n v="4.8"/>
  </r>
  <r>
    <x v="99"/>
    <x v="1"/>
    <s v="Mandalay"/>
    <x v="1"/>
    <s v="Female"/>
    <x v="5"/>
    <n v="92.26"/>
    <n v="8"/>
    <n v="36.9"/>
    <n v="774.98"/>
    <x v="60"/>
    <s v="15:05"/>
    <x v="1"/>
    <n v="738.08"/>
    <n v="4.7618999999999998"/>
    <n v="36.9"/>
    <n v="9.8000000000000007"/>
  </r>
  <r>
    <x v="100"/>
    <x v="2"/>
    <s v="Yangon"/>
    <x v="1"/>
    <s v="Male"/>
    <x v="1"/>
    <n v="81.16"/>
    <n v="1"/>
    <n v="4.0599999999999996"/>
    <n v="85.22"/>
    <x v="20"/>
    <s v="18:05"/>
    <x v="1"/>
    <n v="81.16"/>
    <n v="4.7618999999999998"/>
    <n v="4.0599999999999996"/>
    <n v="6.2"/>
  </r>
  <r>
    <x v="101"/>
    <x v="0"/>
    <s v="Naypyitaw"/>
    <x v="1"/>
    <s v="Male"/>
    <x v="0"/>
    <n v="94.63"/>
    <n v="2"/>
    <n v="9.4600000000000009"/>
    <n v="198.72"/>
    <x v="61"/>
    <s v="13:35"/>
    <x v="2"/>
    <n v="189.26"/>
    <n v="4.7618999999999998"/>
    <n v="9.4600000000000009"/>
    <n v="7.7"/>
  </r>
  <r>
    <x v="102"/>
    <x v="1"/>
    <s v="Mandalay"/>
    <x v="0"/>
    <s v="Female"/>
    <x v="0"/>
    <n v="84.15"/>
    <n v="5"/>
    <n v="21.04"/>
    <n v="441.79"/>
    <x v="62"/>
    <s v="16:05"/>
    <x v="2"/>
    <n v="420.75"/>
    <n v="4.7618999999999998"/>
    <n v="21.04"/>
    <n v="4.3"/>
  </r>
  <r>
    <x v="103"/>
    <x v="1"/>
    <s v="Mandalay"/>
    <x v="1"/>
    <s v="Female"/>
    <x v="1"/>
    <n v="31.13"/>
    <n v="9"/>
    <n v="14.01"/>
    <n v="294.18"/>
    <x v="0"/>
    <s v="16:35"/>
    <x v="1"/>
    <n v="280.17"/>
    <n v="4.7618999999999998"/>
    <n v="14.01"/>
    <n v="8"/>
  </r>
  <r>
    <x v="104"/>
    <x v="0"/>
    <s v="Naypyitaw"/>
    <x v="1"/>
    <s v="Female"/>
    <x v="2"/>
    <n v="68.94"/>
    <n v="8"/>
    <n v="27.58"/>
    <n v="579.1"/>
    <x v="43"/>
    <s v="16:20"/>
    <x v="2"/>
    <n v="551.52"/>
    <n v="4.7618999999999998"/>
    <n v="27.58"/>
    <n v="8.1"/>
  </r>
  <r>
    <x v="105"/>
    <x v="1"/>
    <s v="Mandalay"/>
    <x v="1"/>
    <s v="Female"/>
    <x v="5"/>
    <n v="18.940000000000001"/>
    <n v="6"/>
    <n v="5.68"/>
    <n v="119.32"/>
    <x v="63"/>
    <s v="20:25"/>
    <x v="2"/>
    <n v="113.64"/>
    <n v="4.7618999999999998"/>
    <n v="5.68"/>
    <n v="6.4"/>
  </r>
  <r>
    <x v="106"/>
    <x v="2"/>
    <s v="Yangon"/>
    <x v="1"/>
    <s v="Female"/>
    <x v="0"/>
    <n v="29.09"/>
    <n v="10"/>
    <n v="14.54"/>
    <n v="305.44"/>
    <x v="37"/>
    <s v="10:25"/>
    <x v="2"/>
    <n v="290.89999999999998"/>
    <n v="4.7618999999999998"/>
    <n v="14.54"/>
    <n v="9.9"/>
  </r>
  <r>
    <x v="107"/>
    <x v="0"/>
    <s v="Naypyitaw"/>
    <x v="0"/>
    <s v="Female"/>
    <x v="3"/>
    <n v="28.64"/>
    <n v="4"/>
    <n v="5.73"/>
    <n v="120.29"/>
    <x v="57"/>
    <s v="15:10"/>
    <x v="0"/>
    <n v="114.56"/>
    <n v="4.7618999999999998"/>
    <n v="5.73"/>
    <n v="4"/>
  </r>
  <r>
    <x v="108"/>
    <x v="2"/>
    <s v="Yangon"/>
    <x v="0"/>
    <s v="Male"/>
    <x v="4"/>
    <n v="19.89"/>
    <n v="1"/>
    <n v="0.99"/>
    <n v="20.88"/>
    <x v="27"/>
    <s v="10:25"/>
    <x v="2"/>
    <n v="19.89"/>
    <n v="4.7618999999999998"/>
    <n v="0.99"/>
    <n v="7.5"/>
  </r>
  <r>
    <x v="109"/>
    <x v="2"/>
    <s v="Yangon"/>
    <x v="1"/>
    <s v="Female"/>
    <x v="4"/>
    <n v="76.75"/>
    <n v="9"/>
    <n v="34.54"/>
    <n v="725.29"/>
    <x v="46"/>
    <s v="11:35"/>
    <x v="1"/>
    <n v="690.75"/>
    <n v="4.7618999999999998"/>
    <n v="34.54"/>
    <n v="8.6999999999999993"/>
  </r>
  <r>
    <x v="110"/>
    <x v="0"/>
    <s v="Naypyitaw"/>
    <x v="0"/>
    <s v="Male"/>
    <x v="3"/>
    <n v="29.94"/>
    <n v="10"/>
    <n v="14.97"/>
    <n v="314.37"/>
    <x v="55"/>
    <s v="20:40"/>
    <x v="1"/>
    <n v="299.39999999999998"/>
    <n v="4.7618999999999998"/>
    <n v="14.97"/>
    <n v="6.7"/>
  </r>
  <r>
    <x v="111"/>
    <x v="2"/>
    <s v="Yangon"/>
    <x v="1"/>
    <s v="Male"/>
    <x v="2"/>
    <n v="71.75"/>
    <n v="8"/>
    <n v="28.7"/>
    <n v="602.70000000000005"/>
    <x v="64"/>
    <s v="11:05"/>
    <x v="1"/>
    <n v="574"/>
    <n v="4.7618999999999998"/>
    <n v="28.7"/>
    <n v="7.6"/>
  </r>
  <r>
    <x v="112"/>
    <x v="2"/>
    <s v="Yangon"/>
    <x v="1"/>
    <s v="Male"/>
    <x v="2"/>
    <n v="99.52"/>
    <n v="9"/>
    <n v="44.78"/>
    <n v="940.46"/>
    <x v="60"/>
    <s v="17:40"/>
    <x v="0"/>
    <n v="895.68"/>
    <n v="4.7618999999999998"/>
    <n v="44.78"/>
    <n v="6.6"/>
  </r>
  <r>
    <x v="113"/>
    <x v="0"/>
    <s v="Naypyitaw"/>
    <x v="0"/>
    <s v="Female"/>
    <x v="2"/>
    <n v="50.64"/>
    <n v="4"/>
    <n v="10.130000000000001"/>
    <n v="212.69"/>
    <x v="29"/>
    <s v="15:35"/>
    <x v="1"/>
    <n v="202.56"/>
    <n v="4.7618999999999998"/>
    <n v="10.130000000000001"/>
    <n v="6.5"/>
  </r>
  <r>
    <x v="114"/>
    <x v="1"/>
    <s v="Mandalay"/>
    <x v="1"/>
    <s v="Male"/>
    <x v="0"/>
    <n v="32.94"/>
    <n v="3"/>
    <n v="4.9400000000000004"/>
    <n v="103.76"/>
    <x v="65"/>
    <s v="17:05"/>
    <x v="2"/>
    <n v="98.82"/>
    <n v="4.7618999999999998"/>
    <n v="4.9400000000000004"/>
    <n v="9"/>
  </r>
  <r>
    <x v="115"/>
    <x v="1"/>
    <s v="Mandalay"/>
    <x v="0"/>
    <s v="Male"/>
    <x v="4"/>
    <n v="60.07"/>
    <n v="10"/>
    <n v="30.04"/>
    <n v="630.74"/>
    <x v="26"/>
    <s v="18:25"/>
    <x v="0"/>
    <n v="600.70000000000005"/>
    <n v="4.7618999999999998"/>
    <n v="30.04"/>
    <n v="4.7"/>
  </r>
  <r>
    <x v="116"/>
    <x v="0"/>
    <s v="Naypyitaw"/>
    <x v="1"/>
    <s v="Female"/>
    <x v="5"/>
    <n v="64.040000000000006"/>
    <n v="6"/>
    <n v="19.21"/>
    <n v="403.45"/>
    <x v="42"/>
    <s v="19:40"/>
    <x v="2"/>
    <n v="384.24"/>
    <n v="4.7618999999999998"/>
    <n v="19.21"/>
    <n v="4.9000000000000004"/>
  </r>
  <r>
    <x v="117"/>
    <x v="2"/>
    <s v="Yangon"/>
    <x v="0"/>
    <s v="Male"/>
    <x v="3"/>
    <n v="43.08"/>
    <n v="5"/>
    <n v="10.77"/>
    <n v="226.17"/>
    <x v="4"/>
    <s v="13:30"/>
    <x v="0"/>
    <n v="215.4"/>
    <n v="4.7618999999999998"/>
    <n v="10.77"/>
    <n v="9.8000000000000007"/>
  </r>
  <r>
    <x v="118"/>
    <x v="0"/>
    <s v="Naypyitaw"/>
    <x v="0"/>
    <s v="Male"/>
    <x v="1"/>
    <n v="26.24"/>
    <n v="5"/>
    <n v="6.56"/>
    <n v="137.76"/>
    <x v="54"/>
    <s v="15:00"/>
    <x v="2"/>
    <n v="131.19999999999999"/>
    <n v="4.7618999999999998"/>
    <n v="6.56"/>
    <n v="9.1999999999999993"/>
  </r>
  <r>
    <x v="119"/>
    <x v="0"/>
    <s v="Naypyitaw"/>
    <x v="1"/>
    <s v="Female"/>
    <x v="4"/>
    <n v="76.69"/>
    <n v="1"/>
    <n v="3.83"/>
    <n v="80.52"/>
    <x v="19"/>
    <s v="18:15"/>
    <x v="1"/>
    <n v="76.69"/>
    <n v="4.7618999999999998"/>
    <n v="3.83"/>
    <n v="6.5"/>
  </r>
  <r>
    <x v="120"/>
    <x v="2"/>
    <s v="Yangon"/>
    <x v="1"/>
    <s v="Male"/>
    <x v="0"/>
    <n v="39.19"/>
    <n v="10"/>
    <n v="19.59"/>
    <n v="411.49"/>
    <x v="10"/>
    <s v="11:00"/>
    <x v="2"/>
    <n v="391.9"/>
    <n v="4.7618999999999998"/>
    <n v="19.59"/>
    <n v="4.9000000000000004"/>
  </r>
  <r>
    <x v="121"/>
    <x v="2"/>
    <s v="Yangon"/>
    <x v="0"/>
    <s v="Male"/>
    <x v="2"/>
    <n v="69.569999999999993"/>
    <n v="8"/>
    <n v="27.83"/>
    <n v="584.39"/>
    <x v="3"/>
    <s v="17:30"/>
    <x v="1"/>
    <n v="556.55999999999995"/>
    <n v="4.7618999999999998"/>
    <n v="27.83"/>
    <n v="5.3"/>
  </r>
  <r>
    <x v="122"/>
    <x v="2"/>
    <s v="Yangon"/>
    <x v="1"/>
    <s v="Male"/>
    <x v="1"/>
    <n v="35.49"/>
    <n v="10"/>
    <n v="17.75"/>
    <n v="372.65"/>
    <x v="44"/>
    <s v="18:50"/>
    <x v="1"/>
    <n v="354.9"/>
    <n v="4.7618999999999998"/>
    <n v="17.75"/>
    <n v="4.3"/>
  </r>
  <r>
    <x v="123"/>
    <x v="0"/>
    <s v="Naypyitaw"/>
    <x v="0"/>
    <s v="Female"/>
    <x v="4"/>
    <n v="37.130000000000003"/>
    <n v="4"/>
    <n v="7.43"/>
    <n v="155.94999999999999"/>
    <x v="0"/>
    <s v="14:20"/>
    <x v="1"/>
    <n v="148.52000000000001"/>
    <n v="4.7618999999999998"/>
    <n v="7.43"/>
    <n v="4.7"/>
  </r>
  <r>
    <x v="124"/>
    <x v="0"/>
    <s v="Naypyitaw"/>
    <x v="1"/>
    <s v="Female"/>
    <x v="4"/>
    <n v="44.22"/>
    <n v="4"/>
    <n v="8.84"/>
    <n v="185.72"/>
    <x v="1"/>
    <s v="18:50"/>
    <x v="1"/>
    <n v="176.88"/>
    <n v="4.7618999999999998"/>
    <n v="8.84"/>
    <n v="4.4000000000000004"/>
  </r>
  <r>
    <x v="125"/>
    <x v="0"/>
    <s v="Naypyitaw"/>
    <x v="0"/>
    <s v="Male"/>
    <x v="1"/>
    <n v="51.38"/>
    <n v="2"/>
    <n v="5.14"/>
    <n v="107.9"/>
    <x v="56"/>
    <s v="19:30"/>
    <x v="0"/>
    <n v="102.76"/>
    <n v="4.7618999999999998"/>
    <n v="5.14"/>
    <n v="6.4"/>
  </r>
  <r>
    <x v="126"/>
    <x v="1"/>
    <s v="Mandalay"/>
    <x v="1"/>
    <s v="Female"/>
    <x v="2"/>
    <n v="11.88"/>
    <n v="6"/>
    <n v="3.56"/>
    <n v="74.84"/>
    <x v="38"/>
    <s v="19:35"/>
    <x v="0"/>
    <n v="71.28"/>
    <n v="4.7618999999999998"/>
    <n v="3.56"/>
    <n v="9.5"/>
  </r>
  <r>
    <x v="127"/>
    <x v="1"/>
    <s v="Mandalay"/>
    <x v="0"/>
    <s v="Female"/>
    <x v="2"/>
    <n v="63"/>
    <n v="9"/>
    <n v="28.35"/>
    <n v="595.35"/>
    <x v="22"/>
    <s v="16:20"/>
    <x v="0"/>
    <n v="567"/>
    <n v="4.7618999999999998"/>
    <n v="28.35"/>
    <n v="6"/>
  </r>
  <r>
    <x v="128"/>
    <x v="2"/>
    <s v="Yangon"/>
    <x v="0"/>
    <s v="Female"/>
    <x v="3"/>
    <n v="55.9"/>
    <n v="6"/>
    <n v="16.77"/>
    <n v="352.17"/>
    <x v="66"/>
    <s v="20:10"/>
    <x v="2"/>
    <n v="335.4"/>
    <n v="4.7618999999999998"/>
    <n v="16.77"/>
    <n v="4.5999999999999996"/>
  </r>
  <r>
    <x v="129"/>
    <x v="2"/>
    <s v="Yangon"/>
    <x v="0"/>
    <s v="Female"/>
    <x v="0"/>
    <n v="16.78"/>
    <n v="8"/>
    <n v="6.71"/>
    <n v="140.94999999999999"/>
    <x v="6"/>
    <s v="19:45"/>
    <x v="1"/>
    <n v="134.24"/>
    <n v="4.7618999999999998"/>
    <n v="6.71"/>
    <n v="8.1"/>
  </r>
  <r>
    <x v="130"/>
    <x v="0"/>
    <s v="Naypyitaw"/>
    <x v="1"/>
    <s v="Male"/>
    <x v="4"/>
    <n v="49.58"/>
    <n v="8"/>
    <n v="19.829999999999998"/>
    <n v="416.47"/>
    <x v="64"/>
    <s v="20:20"/>
    <x v="1"/>
    <n v="396.64"/>
    <n v="4.7618999999999998"/>
    <n v="19.829999999999998"/>
    <n v="7.5"/>
  </r>
  <r>
    <x v="131"/>
    <x v="0"/>
    <s v="Naypyitaw"/>
    <x v="0"/>
    <s v="Male"/>
    <x v="2"/>
    <n v="50.67"/>
    <n v="1"/>
    <n v="2.5299999999999998"/>
    <n v="53.2"/>
    <x v="67"/>
    <s v="14:05"/>
    <x v="0"/>
    <n v="50.67"/>
    <n v="4.7618999999999998"/>
    <n v="2.5299999999999998"/>
    <n v="9.1999999999999993"/>
  </r>
  <r>
    <x v="132"/>
    <x v="2"/>
    <s v="Yangon"/>
    <x v="1"/>
    <s v="Male"/>
    <x v="3"/>
    <n v="59.89"/>
    <n v="1"/>
    <n v="2.99"/>
    <n v="62.88"/>
    <x v="68"/>
    <s v="19:50"/>
    <x v="2"/>
    <n v="59.89"/>
    <n v="4.7618999999999998"/>
    <n v="2.99"/>
    <n v="5.9"/>
  </r>
  <r>
    <x v="133"/>
    <x v="0"/>
    <s v="Naypyitaw"/>
    <x v="0"/>
    <s v="Female"/>
    <x v="2"/>
    <n v="19.32"/>
    <n v="6"/>
    <n v="5.8"/>
    <n v="121.72"/>
    <x v="22"/>
    <s v="18:50"/>
    <x v="2"/>
    <n v="115.92"/>
    <n v="4.7618999999999998"/>
    <n v="5.8"/>
    <n v="4.2"/>
  </r>
  <r>
    <x v="134"/>
    <x v="1"/>
    <s v="Mandalay"/>
    <x v="1"/>
    <s v="Female"/>
    <x v="5"/>
    <n v="43.56"/>
    <n v="5"/>
    <n v="10.89"/>
    <n v="228.69"/>
    <x v="33"/>
    <s v="16:25"/>
    <x v="0"/>
    <n v="217.8"/>
    <n v="4.7618999999999998"/>
    <n v="10.89"/>
    <n v="7.6"/>
  </r>
  <r>
    <x v="135"/>
    <x v="0"/>
    <s v="Naypyitaw"/>
    <x v="1"/>
    <s v="Female"/>
    <x v="5"/>
    <n v="18.510000000000002"/>
    <n v="7"/>
    <n v="6.48"/>
    <n v="136.05000000000001"/>
    <x v="47"/>
    <s v="14:55"/>
    <x v="0"/>
    <n v="129.57"/>
    <n v="4.7618999999999998"/>
    <n v="6.48"/>
    <n v="9.8000000000000007"/>
  </r>
  <r>
    <x v="136"/>
    <x v="2"/>
    <s v="Yangon"/>
    <x v="1"/>
    <s v="Female"/>
    <x v="3"/>
    <n v="69.73"/>
    <n v="6"/>
    <n v="20.92"/>
    <n v="439.3"/>
    <x v="12"/>
    <s v="20:55"/>
    <x v="0"/>
    <n v="418.38"/>
    <n v="4.7618999999999998"/>
    <n v="20.92"/>
    <n v="6.4"/>
  </r>
  <r>
    <x v="137"/>
    <x v="0"/>
    <s v="Naypyitaw"/>
    <x v="0"/>
    <s v="Male"/>
    <x v="3"/>
    <n v="43.9"/>
    <n v="6"/>
    <n v="13.17"/>
    <n v="276.57"/>
    <x v="27"/>
    <s v="20:55"/>
    <x v="0"/>
    <n v="263.39999999999998"/>
    <n v="4.7618999999999998"/>
    <n v="13.17"/>
    <n v="10"/>
  </r>
  <r>
    <x v="138"/>
    <x v="2"/>
    <s v="Yangon"/>
    <x v="1"/>
    <s v="Male"/>
    <x v="1"/>
    <n v="42.63"/>
    <n v="3"/>
    <n v="6.39"/>
    <n v="134.28"/>
    <x v="69"/>
    <s v="15:35"/>
    <x v="2"/>
    <n v="127.89"/>
    <n v="4.7618999999999998"/>
    <n v="6.39"/>
    <n v="5.4"/>
  </r>
  <r>
    <x v="139"/>
    <x v="2"/>
    <s v="Yangon"/>
    <x v="0"/>
    <s v="Male"/>
    <x v="1"/>
    <n v="55.69"/>
    <n v="9"/>
    <n v="25.06"/>
    <n v="526.27"/>
    <x v="70"/>
    <s v="10:50"/>
    <x v="1"/>
    <n v="501.21"/>
    <n v="4.7618999999999998"/>
    <n v="25.06"/>
    <n v="9.3000000000000007"/>
  </r>
  <r>
    <x v="140"/>
    <x v="2"/>
    <s v="Yangon"/>
    <x v="1"/>
    <s v="Female"/>
    <x v="4"/>
    <n v="26.28"/>
    <n v="10"/>
    <n v="13.14"/>
    <n v="275.94"/>
    <x v="38"/>
    <s v="17:00"/>
    <x v="1"/>
    <n v="262.8"/>
    <n v="4.7618999999999998"/>
    <n v="13.14"/>
    <n v="6.2"/>
  </r>
  <r>
    <x v="141"/>
    <x v="2"/>
    <s v="Yangon"/>
    <x v="1"/>
    <s v="Male"/>
    <x v="0"/>
    <n v="80.540000000000006"/>
    <n v="4"/>
    <n v="16.11"/>
    <n v="338.27"/>
    <x v="71"/>
    <s v="13:20"/>
    <x v="1"/>
    <n v="322.16000000000003"/>
    <n v="4.7618999999999998"/>
    <n v="16.11"/>
    <n v="9.4"/>
  </r>
  <r>
    <x v="142"/>
    <x v="1"/>
    <s v="Mandalay"/>
    <x v="1"/>
    <s v="Male"/>
    <x v="5"/>
    <n v="80.03"/>
    <n v="9"/>
    <n v="36.01"/>
    <n v="756.28"/>
    <x v="70"/>
    <s v="16:10"/>
    <x v="2"/>
    <n v="720.27"/>
    <n v="4.7618999999999998"/>
    <n v="36.01"/>
    <n v="8.8000000000000007"/>
  </r>
  <r>
    <x v="143"/>
    <x v="1"/>
    <s v="Mandalay"/>
    <x v="0"/>
    <s v="Male"/>
    <x v="5"/>
    <n v="59.91"/>
    <n v="2"/>
    <n v="5.99"/>
    <n v="125.81"/>
    <x v="72"/>
    <s v="11:20"/>
    <x v="2"/>
    <n v="119.82"/>
    <n v="4.7618999999999998"/>
    <n v="5.99"/>
    <n v="8.6"/>
  </r>
  <r>
    <x v="144"/>
    <x v="1"/>
    <s v="Mandalay"/>
    <x v="0"/>
    <s v="Male"/>
    <x v="1"/>
    <n v="95.18"/>
    <n v="4"/>
    <n v="19.04"/>
    <n v="399.76"/>
    <x v="68"/>
    <s v="15:00"/>
    <x v="1"/>
    <n v="380.72"/>
    <n v="4.7618999999999998"/>
    <n v="19.04"/>
    <n v="4.3"/>
  </r>
  <r>
    <x v="145"/>
    <x v="1"/>
    <s v="Mandalay"/>
    <x v="0"/>
    <s v="Male"/>
    <x v="1"/>
    <n v="43.74"/>
    <n v="1"/>
    <n v="2.19"/>
    <n v="45.93"/>
    <x v="56"/>
    <s v="11:55"/>
    <x v="0"/>
    <n v="43.74"/>
    <n v="4.7618999999999998"/>
    <n v="2.19"/>
    <n v="6"/>
  </r>
  <r>
    <x v="146"/>
    <x v="2"/>
    <s v="Yangon"/>
    <x v="0"/>
    <s v="Male"/>
    <x v="2"/>
    <n v="72.650000000000006"/>
    <n v="3"/>
    <n v="10.9"/>
    <n v="228.85"/>
    <x v="50"/>
    <s v="17:45"/>
    <x v="2"/>
    <n v="217.95"/>
    <n v="4.7618999999999998"/>
    <n v="10.9"/>
    <n v="9.4"/>
  </r>
  <r>
    <x v="147"/>
    <x v="1"/>
    <s v="Mandalay"/>
    <x v="0"/>
    <s v="Female"/>
    <x v="3"/>
    <n v="94.62"/>
    <n v="10"/>
    <n v="47.31"/>
    <n v="993.51"/>
    <x v="70"/>
    <s v="16:05"/>
    <x v="1"/>
    <n v="946.2"/>
    <n v="4.7618999999999998"/>
    <n v="47.31"/>
    <n v="5.4"/>
  </r>
  <r>
    <x v="148"/>
    <x v="2"/>
    <s v="Yangon"/>
    <x v="0"/>
    <s v="Male"/>
    <x v="0"/>
    <n v="81.45"/>
    <n v="8"/>
    <n v="32.58"/>
    <n v="684.18"/>
    <x v="36"/>
    <s v="11:35"/>
    <x v="0"/>
    <n v="651.6"/>
    <n v="4.7618999999999998"/>
    <n v="32.58"/>
    <n v="7.2"/>
  </r>
  <r>
    <x v="149"/>
    <x v="0"/>
    <s v="Naypyitaw"/>
    <x v="0"/>
    <s v="Female"/>
    <x v="5"/>
    <n v="48.63"/>
    <n v="10"/>
    <n v="24.32"/>
    <n v="510.62"/>
    <x v="28"/>
    <s v="13:45"/>
    <x v="1"/>
    <n v="486.3"/>
    <n v="4.7618999999999998"/>
    <n v="24.32"/>
    <n v="5.0999999999999996"/>
  </r>
  <r>
    <x v="150"/>
    <x v="2"/>
    <s v="Yangon"/>
    <x v="1"/>
    <s v="Female"/>
    <x v="3"/>
    <n v="58.97"/>
    <n v="9"/>
    <n v="26.54"/>
    <n v="557.27"/>
    <x v="25"/>
    <s v="10:30"/>
    <x v="1"/>
    <n v="530.73"/>
    <n v="4.7618999999999998"/>
    <n v="26.54"/>
    <n v="4.3"/>
  </r>
  <r>
    <x v="151"/>
    <x v="1"/>
    <s v="Mandalay"/>
    <x v="1"/>
    <s v="Female"/>
    <x v="5"/>
    <n v="80.97"/>
    <n v="6"/>
    <n v="24.29"/>
    <n v="510.11"/>
    <x v="35"/>
    <s v="20:50"/>
    <x v="2"/>
    <n v="485.82"/>
    <n v="4.7618999999999998"/>
    <n v="24.29"/>
    <n v="8.6"/>
  </r>
  <r>
    <x v="152"/>
    <x v="1"/>
    <s v="Mandalay"/>
    <x v="0"/>
    <s v="Female"/>
    <x v="5"/>
    <n v="59.14"/>
    <n v="3"/>
    <n v="8.8699999999999992"/>
    <n v="186.29"/>
    <x v="65"/>
    <s v="17:55"/>
    <x v="1"/>
    <n v="177.42"/>
    <n v="4.7618999999999998"/>
    <n v="8.8699999999999992"/>
    <n v="7.8"/>
  </r>
  <r>
    <x v="153"/>
    <x v="2"/>
    <s v="Yangon"/>
    <x v="0"/>
    <s v="Male"/>
    <x v="1"/>
    <n v="36.409999999999997"/>
    <n v="1"/>
    <n v="1.82"/>
    <n v="38.229999999999997"/>
    <x v="30"/>
    <s v="10:25"/>
    <x v="1"/>
    <n v="36.409999999999997"/>
    <n v="4.7618999999999998"/>
    <n v="1.82"/>
    <n v="7.1"/>
  </r>
  <r>
    <x v="154"/>
    <x v="0"/>
    <s v="Naypyitaw"/>
    <x v="1"/>
    <s v="Male"/>
    <x v="1"/>
    <n v="77.8"/>
    <n v="4"/>
    <n v="15.56"/>
    <n v="326.76"/>
    <x v="47"/>
    <s v="15:00"/>
    <x v="0"/>
    <n v="311.2"/>
    <n v="4.7618999999999998"/>
    <n v="15.56"/>
    <n v="6"/>
  </r>
  <r>
    <x v="155"/>
    <x v="1"/>
    <s v="Mandalay"/>
    <x v="1"/>
    <s v="Male"/>
    <x v="0"/>
    <n v="49.58"/>
    <n v="7"/>
    <n v="17.350000000000001"/>
    <n v="364.41"/>
    <x v="54"/>
    <s v="12:35"/>
    <x v="0"/>
    <n v="347.06"/>
    <n v="4.7618999999999998"/>
    <n v="17.350000000000001"/>
    <n v="7"/>
  </r>
  <r>
    <x v="156"/>
    <x v="0"/>
    <s v="Naypyitaw"/>
    <x v="1"/>
    <s v="Female"/>
    <x v="0"/>
    <n v="48.2"/>
    <n v="7"/>
    <n v="16.87"/>
    <n v="354.27"/>
    <x v="3"/>
    <s v="12:40"/>
    <x v="1"/>
    <n v="337.4"/>
    <n v="4.7618999999999998"/>
    <n v="16.87"/>
    <n v="5.9"/>
  </r>
  <r>
    <x v="157"/>
    <x v="1"/>
    <s v="Mandalay"/>
    <x v="1"/>
    <s v="Male"/>
    <x v="2"/>
    <n v="64.239999999999995"/>
    <n v="7"/>
    <n v="22.48"/>
    <n v="472.16"/>
    <x v="38"/>
    <s v="17:25"/>
    <x v="1"/>
    <n v="449.68"/>
    <n v="4.7618999999999998"/>
    <n v="22.48"/>
    <n v="4.3"/>
  </r>
  <r>
    <x v="158"/>
    <x v="1"/>
    <s v="Mandalay"/>
    <x v="1"/>
    <s v="Male"/>
    <x v="0"/>
    <n v="98.2"/>
    <n v="1"/>
    <n v="4.91"/>
    <n v="103.11"/>
    <x v="15"/>
    <s v="20:50"/>
    <x v="1"/>
    <n v="98.2"/>
    <n v="4.7618999999999998"/>
    <n v="4.91"/>
    <n v="6.2"/>
  </r>
  <r>
    <x v="159"/>
    <x v="0"/>
    <s v="Naypyitaw"/>
    <x v="0"/>
    <s v="Female"/>
    <x v="4"/>
    <n v="86.38"/>
    <n v="8"/>
    <n v="34.549999999999997"/>
    <n v="725.59"/>
    <x v="52"/>
    <s v="12:05"/>
    <x v="2"/>
    <n v="691.04"/>
    <n v="4.7618999999999998"/>
    <n v="34.549999999999997"/>
    <n v="8.6999999999999993"/>
  </r>
  <r>
    <x v="160"/>
    <x v="1"/>
    <s v="Mandalay"/>
    <x v="1"/>
    <s v="Female"/>
    <x v="3"/>
    <n v="23.81"/>
    <n v="8"/>
    <n v="9.52"/>
    <n v="200"/>
    <x v="67"/>
    <s v="15:35"/>
    <x v="2"/>
    <n v="190.48"/>
    <n v="4.7618999999999998"/>
    <n v="9.52"/>
    <n v="7.4"/>
  </r>
  <r>
    <x v="161"/>
    <x v="1"/>
    <s v="Mandalay"/>
    <x v="1"/>
    <s v="Male"/>
    <x v="0"/>
    <n v="35.08"/>
    <n v="2"/>
    <n v="3.51"/>
    <n v="73.67"/>
    <x v="49"/>
    <s v="12:35"/>
    <x v="0"/>
    <n v="70.16"/>
    <n v="4.7618999999999998"/>
    <n v="3.51"/>
    <n v="6.3"/>
  </r>
  <r>
    <x v="162"/>
    <x v="2"/>
    <s v="Yangon"/>
    <x v="1"/>
    <s v="Male"/>
    <x v="0"/>
    <n v="50.16"/>
    <n v="10"/>
    <n v="25.08"/>
    <n v="526.67999999999995"/>
    <x v="47"/>
    <s v="17:15"/>
    <x v="2"/>
    <n v="501.6"/>
    <n v="4.7618999999999998"/>
    <n v="25.08"/>
    <n v="4.8"/>
  </r>
  <r>
    <x v="163"/>
    <x v="1"/>
    <s v="Mandalay"/>
    <x v="0"/>
    <s v="Male"/>
    <x v="1"/>
    <n v="82.95"/>
    <n v="6"/>
    <n v="24.89"/>
    <n v="522.59"/>
    <x v="23"/>
    <s v="15:55"/>
    <x v="2"/>
    <n v="497.7"/>
    <n v="4.7618999999999998"/>
    <n v="24.89"/>
    <n v="7.3"/>
  </r>
  <r>
    <x v="164"/>
    <x v="1"/>
    <s v="Mandalay"/>
    <x v="0"/>
    <s v="Female"/>
    <x v="5"/>
    <n v="55.79"/>
    <n v="2"/>
    <n v="5.58"/>
    <n v="117.16"/>
    <x v="30"/>
    <s v="12:15"/>
    <x v="1"/>
    <n v="111.58"/>
    <n v="4.7618999999999998"/>
    <n v="5.58"/>
    <n v="4.2"/>
  </r>
  <r>
    <x v="165"/>
    <x v="0"/>
    <s v="Naypyitaw"/>
    <x v="1"/>
    <s v="Male"/>
    <x v="3"/>
    <n v="21.68"/>
    <n v="2"/>
    <n v="2.17"/>
    <n v="45.53"/>
    <x v="36"/>
    <s v="14:30"/>
    <x v="0"/>
    <n v="43.36"/>
    <n v="4.7618999999999998"/>
    <n v="2.17"/>
    <n v="8.3000000000000007"/>
  </r>
  <r>
    <x v="166"/>
    <x v="1"/>
    <s v="Mandalay"/>
    <x v="1"/>
    <s v="Female"/>
    <x v="4"/>
    <n v="97.51"/>
    <n v="2"/>
    <n v="9.75"/>
    <n v="204.77"/>
    <x v="68"/>
    <s v="17:50"/>
    <x v="0"/>
    <n v="195.02"/>
    <n v="4.7618999999999998"/>
    <n v="9.75"/>
    <n v="6.1"/>
  </r>
  <r>
    <x v="167"/>
    <x v="0"/>
    <s v="Naypyitaw"/>
    <x v="0"/>
    <s v="Female"/>
    <x v="2"/>
    <n v="55.26"/>
    <n v="1"/>
    <n v="2.76"/>
    <n v="58.02"/>
    <x v="41"/>
    <s v="18:10"/>
    <x v="1"/>
    <n v="55.26"/>
    <n v="4.7618999999999998"/>
    <n v="2.76"/>
    <n v="5"/>
  </r>
  <r>
    <x v="168"/>
    <x v="0"/>
    <s v="Naypyitaw"/>
    <x v="0"/>
    <s v="Male"/>
    <x v="3"/>
    <n v="90.54"/>
    <n v="2"/>
    <n v="9.0500000000000007"/>
    <n v="190.13"/>
    <x v="39"/>
    <s v="13:50"/>
    <x v="0"/>
    <n v="181.08"/>
    <n v="4.7618999999999998"/>
    <n v="9.0500000000000007"/>
    <n v="5.6"/>
  </r>
  <r>
    <x v="169"/>
    <x v="1"/>
    <s v="Mandalay"/>
    <x v="0"/>
    <s v="Female"/>
    <x v="3"/>
    <n v="94.74"/>
    <n v="3"/>
    <n v="14.21"/>
    <n v="298.43"/>
    <x v="38"/>
    <s v="20:45"/>
    <x v="0"/>
    <n v="284.22000000000003"/>
    <n v="4.7618999999999998"/>
    <n v="14.21"/>
    <n v="9.4"/>
  </r>
  <r>
    <x v="170"/>
    <x v="0"/>
    <s v="Naypyitaw"/>
    <x v="0"/>
    <s v="Female"/>
    <x v="1"/>
    <n v="14.09"/>
    <n v="10"/>
    <n v="7.05"/>
    <n v="147.94999999999999"/>
    <x v="20"/>
    <s v="20:15"/>
    <x v="0"/>
    <n v="140.9"/>
    <n v="4.7618999999999998"/>
    <n v="7.05"/>
    <n v="6.5"/>
  </r>
  <r>
    <x v="171"/>
    <x v="2"/>
    <s v="Yangon"/>
    <x v="1"/>
    <s v="Male"/>
    <x v="0"/>
    <n v="96.1"/>
    <n v="8"/>
    <n v="38.44"/>
    <n v="807.24"/>
    <x v="40"/>
    <s v="20:30"/>
    <x v="1"/>
    <n v="768.8"/>
    <n v="4.7618999999999998"/>
    <n v="38.44"/>
    <n v="6.7"/>
  </r>
  <r>
    <x v="172"/>
    <x v="2"/>
    <s v="Yangon"/>
    <x v="0"/>
    <s v="Male"/>
    <x v="2"/>
    <n v="53.58"/>
    <n v="4"/>
    <n v="10.72"/>
    <n v="225.04"/>
    <x v="54"/>
    <s v="19:10"/>
    <x v="1"/>
    <n v="214.32"/>
    <n v="4.7618999999999998"/>
    <n v="10.72"/>
    <n v="9.1999999999999993"/>
  </r>
  <r>
    <x v="173"/>
    <x v="0"/>
    <s v="Naypyitaw"/>
    <x v="1"/>
    <s v="Male"/>
    <x v="4"/>
    <n v="78.459999999999994"/>
    <n v="9"/>
    <n v="35.31"/>
    <n v="741.45"/>
    <x v="26"/>
    <s v="11:25"/>
    <x v="2"/>
    <n v="706.14"/>
    <n v="4.7618999999999998"/>
    <n v="35.31"/>
    <n v="6.8"/>
  </r>
  <r>
    <x v="174"/>
    <x v="1"/>
    <s v="Mandalay"/>
    <x v="0"/>
    <s v="Female"/>
    <x v="1"/>
    <n v="14.55"/>
    <n v="7"/>
    <n v="5.09"/>
    <n v="106.94"/>
    <x v="43"/>
    <s v="16:15"/>
    <x v="2"/>
    <n v="101.85"/>
    <n v="4.7618999999999998"/>
    <n v="5.09"/>
    <n v="8.9"/>
  </r>
  <r>
    <x v="175"/>
    <x v="0"/>
    <s v="Naypyitaw"/>
    <x v="1"/>
    <s v="Female"/>
    <x v="4"/>
    <n v="54.84"/>
    <n v="9"/>
    <n v="24.68"/>
    <n v="518.24"/>
    <x v="6"/>
    <s v="17:20"/>
    <x v="1"/>
    <n v="493.56"/>
    <n v="4.7618999999999998"/>
    <n v="24.68"/>
    <n v="4.0999999999999996"/>
  </r>
  <r>
    <x v="176"/>
    <x v="0"/>
    <s v="Naypyitaw"/>
    <x v="1"/>
    <s v="Female"/>
    <x v="4"/>
    <n v="62.5"/>
    <n v="1"/>
    <n v="3.12"/>
    <n v="65.62"/>
    <x v="73"/>
    <s v="14:35"/>
    <x v="0"/>
    <n v="62.5"/>
    <n v="4.7618999999999998"/>
    <n v="3.12"/>
    <n v="9.3000000000000007"/>
  </r>
  <r>
    <x v="177"/>
    <x v="0"/>
    <s v="Naypyitaw"/>
    <x v="1"/>
    <s v="Male"/>
    <x v="3"/>
    <n v="10.74"/>
    <n v="2"/>
    <n v="1.07"/>
    <n v="22.55"/>
    <x v="11"/>
    <s v="12:20"/>
    <x v="0"/>
    <n v="21.48"/>
    <n v="4.7618999999999998"/>
    <n v="1.07"/>
    <n v="6.2"/>
  </r>
  <r>
    <x v="178"/>
    <x v="1"/>
    <s v="Mandalay"/>
    <x v="0"/>
    <s v="Male"/>
    <x v="1"/>
    <n v="61.33"/>
    <n v="4"/>
    <n v="12.27"/>
    <n v="257.58999999999997"/>
    <x v="53"/>
    <s v="18:20"/>
    <x v="2"/>
    <n v="245.32"/>
    <n v="4.7618999999999998"/>
    <n v="12.27"/>
    <n v="6.3"/>
  </r>
  <r>
    <x v="179"/>
    <x v="0"/>
    <s v="Naypyitaw"/>
    <x v="1"/>
    <s v="Female"/>
    <x v="4"/>
    <n v="97.76"/>
    <n v="7"/>
    <n v="34.22"/>
    <n v="718.54"/>
    <x v="67"/>
    <s v="15:40"/>
    <x v="1"/>
    <n v="684.32"/>
    <n v="4.7618999999999998"/>
    <n v="34.22"/>
    <n v="8.5"/>
  </r>
  <r>
    <x v="180"/>
    <x v="0"/>
    <s v="Naypyitaw"/>
    <x v="1"/>
    <s v="Female"/>
    <x v="1"/>
    <n v="13.5"/>
    <n v="6"/>
    <n v="4.05"/>
    <n v="85.05"/>
    <x v="50"/>
    <s v="18:35"/>
    <x v="2"/>
    <n v="81"/>
    <n v="4.7618999999999998"/>
    <n v="4.05"/>
    <n v="7.6"/>
  </r>
  <r>
    <x v="181"/>
    <x v="2"/>
    <s v="Yangon"/>
    <x v="1"/>
    <s v="Male"/>
    <x v="4"/>
    <n v="45.37"/>
    <n v="10"/>
    <n v="22.69"/>
    <n v="476.39"/>
    <x v="24"/>
    <s v="19:25"/>
    <x v="0"/>
    <n v="453.7"/>
    <n v="4.7618999999999998"/>
    <n v="22.69"/>
    <n v="9"/>
  </r>
  <r>
    <x v="182"/>
    <x v="1"/>
    <s v="Mandalay"/>
    <x v="1"/>
    <s v="Male"/>
    <x v="1"/>
    <n v="43.15"/>
    <n v="2"/>
    <n v="4.32"/>
    <n v="90.62"/>
    <x v="74"/>
    <s v="19:20"/>
    <x v="0"/>
    <n v="86.3"/>
    <n v="4.7618999999999998"/>
    <n v="4.32"/>
    <n v="9.1999999999999993"/>
  </r>
  <r>
    <x v="183"/>
    <x v="2"/>
    <s v="Yangon"/>
    <x v="1"/>
    <s v="Male"/>
    <x v="0"/>
    <n v="80.459999999999994"/>
    <n v="10"/>
    <n v="40.229999999999997"/>
    <n v="844.83"/>
    <x v="4"/>
    <s v="13:55"/>
    <x v="2"/>
    <n v="804.6"/>
    <n v="4.7618999999999998"/>
    <n v="40.229999999999997"/>
    <n v="7.5"/>
  </r>
  <r>
    <x v="184"/>
    <x v="0"/>
    <s v="Naypyitaw"/>
    <x v="1"/>
    <s v="Female"/>
    <x v="0"/>
    <n v="31.8"/>
    <n v="10"/>
    <n v="15.9"/>
    <n v="333.9"/>
    <x v="46"/>
    <s v="13:00"/>
    <x v="1"/>
    <n v="318"/>
    <n v="4.7618999999999998"/>
    <n v="15.9"/>
    <n v="5.9"/>
  </r>
  <r>
    <x v="185"/>
    <x v="1"/>
    <s v="Mandalay"/>
    <x v="0"/>
    <s v="Male"/>
    <x v="3"/>
    <n v="79.75"/>
    <n v="8"/>
    <n v="31.9"/>
    <n v="669.9"/>
    <x v="17"/>
    <s v="12:40"/>
    <x v="2"/>
    <n v="638"/>
    <n v="4.7618999999999998"/>
    <n v="31.9"/>
    <n v="7.4"/>
  </r>
  <r>
    <x v="186"/>
    <x v="1"/>
    <s v="Mandalay"/>
    <x v="1"/>
    <s v="Male"/>
    <x v="4"/>
    <n v="51.37"/>
    <n v="9"/>
    <n v="23.12"/>
    <n v="485.45"/>
    <x v="54"/>
    <s v="18:25"/>
    <x v="0"/>
    <n v="462.33"/>
    <n v="4.7618999999999998"/>
    <n v="23.12"/>
    <n v="8.6"/>
  </r>
  <r>
    <x v="187"/>
    <x v="0"/>
    <s v="Naypyitaw"/>
    <x v="1"/>
    <s v="Male"/>
    <x v="4"/>
    <n v="96.16"/>
    <n v="5"/>
    <n v="24.04"/>
    <n v="504.84"/>
    <x v="26"/>
    <s v="14:15"/>
    <x v="1"/>
    <n v="480.8"/>
    <n v="4.7618999999999998"/>
    <n v="24.04"/>
    <n v="8.6"/>
  </r>
  <r>
    <x v="188"/>
    <x v="2"/>
    <s v="Yangon"/>
    <x v="1"/>
    <s v="Male"/>
    <x v="2"/>
    <n v="41.39"/>
    <n v="5"/>
    <n v="10.35"/>
    <n v="217.3"/>
    <x v="47"/>
    <s v="11:45"/>
    <x v="0"/>
    <n v="206.95"/>
    <n v="4.7618999999999998"/>
    <n v="10.35"/>
    <n v="7.3"/>
  </r>
  <r>
    <x v="189"/>
    <x v="1"/>
    <s v="Mandalay"/>
    <x v="0"/>
    <s v="Male"/>
    <x v="1"/>
    <n v="35.89"/>
    <n v="2"/>
    <n v="3.59"/>
    <n v="75.37"/>
    <x v="66"/>
    <s v="17:50"/>
    <x v="1"/>
    <n v="71.78"/>
    <n v="4.7618999999999998"/>
    <n v="3.59"/>
    <n v="8.5"/>
  </r>
  <r>
    <x v="190"/>
    <x v="2"/>
    <s v="Yangon"/>
    <x v="1"/>
    <s v="Male"/>
    <x v="4"/>
    <n v="19.829999999999998"/>
    <n v="10"/>
    <n v="9.92"/>
    <n v="208.22"/>
    <x v="35"/>
    <s v="13:00"/>
    <x v="0"/>
    <n v="198.3"/>
    <n v="4.7618999999999998"/>
    <n v="9.92"/>
    <n v="9.4"/>
  </r>
  <r>
    <x v="191"/>
    <x v="0"/>
    <s v="Naypyitaw"/>
    <x v="0"/>
    <s v="Female"/>
    <x v="1"/>
    <n v="47.2"/>
    <n v="8"/>
    <n v="18.88"/>
    <n v="396.48"/>
    <x v="75"/>
    <s v="20:10"/>
    <x v="2"/>
    <n v="377.6"/>
    <n v="4.7618999999999998"/>
    <n v="18.88"/>
    <n v="9.8000000000000007"/>
  </r>
  <r>
    <x v="192"/>
    <x v="1"/>
    <s v="Mandalay"/>
    <x v="1"/>
    <s v="Male"/>
    <x v="0"/>
    <n v="27.95"/>
    <n v="5"/>
    <n v="6.99"/>
    <n v="146.74"/>
    <x v="59"/>
    <s v="14:50"/>
    <x v="2"/>
    <n v="139.75"/>
    <n v="4.7618999999999998"/>
    <n v="6.99"/>
    <n v="9.4"/>
  </r>
  <r>
    <x v="193"/>
    <x v="0"/>
    <s v="Naypyitaw"/>
    <x v="0"/>
    <s v="Female"/>
    <x v="4"/>
    <n v="47.61"/>
    <n v="3"/>
    <n v="7.14"/>
    <n v="149.97"/>
    <x v="52"/>
    <s v="16:35"/>
    <x v="2"/>
    <n v="142.83000000000001"/>
    <n v="4.7618999999999998"/>
    <n v="7.14"/>
    <n v="9.6"/>
  </r>
  <r>
    <x v="194"/>
    <x v="1"/>
    <s v="Mandalay"/>
    <x v="0"/>
    <s v="Female"/>
    <x v="5"/>
    <n v="61.12"/>
    <n v="2"/>
    <n v="6.11"/>
    <n v="128.35"/>
    <x v="51"/>
    <s v="14:35"/>
    <x v="0"/>
    <n v="122.24"/>
    <n v="4.7618999999999998"/>
    <n v="6.11"/>
    <n v="7.3"/>
  </r>
  <r>
    <x v="195"/>
    <x v="2"/>
    <s v="Yangon"/>
    <x v="1"/>
    <s v="Male"/>
    <x v="4"/>
    <n v="82.79"/>
    <n v="6"/>
    <n v="24.84"/>
    <n v="521.58000000000004"/>
    <x v="2"/>
    <s v="17:50"/>
    <x v="1"/>
    <n v="496.74"/>
    <n v="4.7618999999999998"/>
    <n v="24.84"/>
    <n v="8.3000000000000007"/>
  </r>
  <r>
    <x v="196"/>
    <x v="0"/>
    <s v="Naypyitaw"/>
    <x v="1"/>
    <s v="Male"/>
    <x v="3"/>
    <n v="70.7"/>
    <n v="4"/>
    <n v="14.14"/>
    <n v="296.94"/>
    <x v="32"/>
    <s v="19:50"/>
    <x v="1"/>
    <n v="282.8"/>
    <n v="4.7618999999999998"/>
    <n v="14.14"/>
    <n v="9"/>
  </r>
  <r>
    <x v="197"/>
    <x v="1"/>
    <s v="Mandalay"/>
    <x v="0"/>
    <s v="Male"/>
    <x v="0"/>
    <n v="18.579999999999998"/>
    <n v="3"/>
    <n v="2.79"/>
    <n v="58.53"/>
    <x v="76"/>
    <s v="15:15"/>
    <x v="2"/>
    <n v="55.74"/>
    <n v="4.7618999999999998"/>
    <n v="2.79"/>
    <n v="5.6"/>
  </r>
  <r>
    <x v="198"/>
    <x v="1"/>
    <s v="Mandalay"/>
    <x v="1"/>
    <s v="Male"/>
    <x v="5"/>
    <n v="62.42"/>
    <n v="10"/>
    <n v="31.21"/>
    <n v="655.41"/>
    <x v="77"/>
    <s v="14:50"/>
    <x v="1"/>
    <n v="624.20000000000005"/>
    <n v="4.7618999999999998"/>
    <n v="31.21"/>
    <n v="8.1999999999999993"/>
  </r>
  <r>
    <x v="199"/>
    <x v="0"/>
    <s v="Naypyitaw"/>
    <x v="0"/>
    <s v="Male"/>
    <x v="5"/>
    <n v="24.37"/>
    <n v="9"/>
    <n v="10.97"/>
    <n v="230.3"/>
    <x v="12"/>
    <s v="11:50"/>
    <x v="1"/>
    <n v="219.33"/>
    <n v="4.7618999999999998"/>
    <n v="10.97"/>
    <n v="6.2"/>
  </r>
  <r>
    <x v="200"/>
    <x v="2"/>
    <s v="Yangon"/>
    <x v="0"/>
    <s v="Male"/>
    <x v="4"/>
    <n v="50.95"/>
    <n v="10"/>
    <n v="25.48"/>
    <n v="534.98"/>
    <x v="67"/>
    <s v="16:55"/>
    <x v="0"/>
    <n v="509.5"/>
    <n v="4.7618999999999998"/>
    <n v="25.48"/>
    <n v="9.5"/>
  </r>
  <r>
    <x v="201"/>
    <x v="0"/>
    <s v="Naypyitaw"/>
    <x v="0"/>
    <s v="Female"/>
    <x v="0"/>
    <n v="77.930000000000007"/>
    <n v="2"/>
    <n v="7.79"/>
    <n v="163.65"/>
    <x v="70"/>
    <s v="17:40"/>
    <x v="0"/>
    <n v="155.86000000000001"/>
    <n v="4.7618999999999998"/>
    <n v="7.79"/>
    <n v="6.2"/>
  </r>
  <r>
    <x v="202"/>
    <x v="2"/>
    <s v="Yangon"/>
    <x v="0"/>
    <s v="Female"/>
    <x v="3"/>
    <n v="58.3"/>
    <n v="3"/>
    <n v="8.75"/>
    <n v="183.65"/>
    <x v="59"/>
    <s v="18:35"/>
    <x v="2"/>
    <n v="174.9"/>
    <n v="4.7618999999999998"/>
    <n v="8.75"/>
    <n v="8.1"/>
  </r>
  <r>
    <x v="203"/>
    <x v="0"/>
    <s v="Naypyitaw"/>
    <x v="1"/>
    <s v="Female"/>
    <x v="3"/>
    <n v="50.09"/>
    <n v="1"/>
    <n v="2.5"/>
    <n v="52.59"/>
    <x v="45"/>
    <s v="12:40"/>
    <x v="1"/>
    <n v="50.09"/>
    <n v="4.7618999999999998"/>
    <n v="2.5"/>
    <n v="6.7"/>
  </r>
  <r>
    <x v="204"/>
    <x v="0"/>
    <s v="Naypyitaw"/>
    <x v="1"/>
    <s v="Male"/>
    <x v="0"/>
    <n v="11.96"/>
    <n v="5"/>
    <n v="2.99"/>
    <n v="62.79"/>
    <x v="78"/>
    <s v="13:45"/>
    <x v="2"/>
    <n v="59.8"/>
    <n v="4.7618999999999998"/>
    <n v="2.99"/>
    <n v="4.3"/>
  </r>
  <r>
    <x v="205"/>
    <x v="0"/>
    <s v="Naypyitaw"/>
    <x v="0"/>
    <s v="Female"/>
    <x v="1"/>
    <n v="98.75"/>
    <n v="8"/>
    <n v="39.5"/>
    <n v="829.5"/>
    <x v="52"/>
    <s v="14:30"/>
    <x v="2"/>
    <n v="790"/>
    <n v="4.7618999999999998"/>
    <n v="39.5"/>
    <n v="8.6"/>
  </r>
  <r>
    <x v="206"/>
    <x v="0"/>
    <s v="Naypyitaw"/>
    <x v="1"/>
    <s v="Male"/>
    <x v="2"/>
    <n v="50.37"/>
    <n v="7"/>
    <n v="17.63"/>
    <n v="370.22"/>
    <x v="79"/>
    <s v="11:50"/>
    <x v="0"/>
    <n v="352.59"/>
    <n v="4.7618999999999998"/>
    <n v="17.63"/>
    <n v="9.1999999999999993"/>
  </r>
  <r>
    <x v="207"/>
    <x v="0"/>
    <s v="Naypyitaw"/>
    <x v="1"/>
    <s v="Female"/>
    <x v="4"/>
    <n v="99.36"/>
    <n v="7"/>
    <n v="34.78"/>
    <n v="730.3"/>
    <x v="70"/>
    <s v="12:55"/>
    <x v="2"/>
    <n v="695.52"/>
    <n v="4.7618999999999998"/>
    <n v="34.78"/>
    <n v="9"/>
  </r>
  <r>
    <x v="208"/>
    <x v="2"/>
    <s v="Yangon"/>
    <x v="1"/>
    <s v="Male"/>
    <x v="0"/>
    <n v="74.72"/>
    <n v="7"/>
    <n v="26.15"/>
    <n v="549.19000000000005"/>
    <x v="71"/>
    <s v="16:15"/>
    <x v="2"/>
    <n v="523.04"/>
    <n v="4.7618999999999998"/>
    <n v="26.15"/>
    <n v="6.8"/>
  </r>
  <r>
    <x v="209"/>
    <x v="1"/>
    <s v="Mandalay"/>
    <x v="0"/>
    <s v="Female"/>
    <x v="1"/>
    <n v="82.85"/>
    <n v="7"/>
    <n v="29"/>
    <n v="608.95000000000005"/>
    <x v="43"/>
    <s v="10:15"/>
    <x v="2"/>
    <n v="579.95000000000005"/>
    <n v="4.7618999999999998"/>
    <n v="29"/>
    <n v="4.4000000000000004"/>
  </r>
  <r>
    <x v="210"/>
    <x v="2"/>
    <s v="Yangon"/>
    <x v="1"/>
    <s v="Female"/>
    <x v="4"/>
    <n v="76.650000000000006"/>
    <n v="7"/>
    <n v="26.83"/>
    <n v="563.38"/>
    <x v="64"/>
    <s v="13:40"/>
    <x v="2"/>
    <n v="536.54999999999995"/>
    <n v="4.7618999999999998"/>
    <n v="26.83"/>
    <n v="8.5"/>
  </r>
  <r>
    <x v="211"/>
    <x v="2"/>
    <s v="Yangon"/>
    <x v="0"/>
    <s v="Male"/>
    <x v="4"/>
    <n v="83.42"/>
    <n v="10"/>
    <n v="41.71"/>
    <n v="875.91"/>
    <x v="56"/>
    <s v="19:45"/>
    <x v="0"/>
    <n v="834.2"/>
    <n v="4.7618999999999998"/>
    <n v="41.71"/>
    <n v="8.9"/>
  </r>
  <r>
    <x v="212"/>
    <x v="1"/>
    <s v="Mandalay"/>
    <x v="0"/>
    <s v="Female"/>
    <x v="2"/>
    <n v="37.049999999999997"/>
    <n v="1"/>
    <n v="1.85"/>
    <n v="38.9"/>
    <x v="26"/>
    <s v="19:55"/>
    <x v="2"/>
    <n v="37.049999999999997"/>
    <n v="4.7618999999999998"/>
    <n v="1.85"/>
    <n v="7.8"/>
  </r>
  <r>
    <x v="213"/>
    <x v="0"/>
    <s v="Naypyitaw"/>
    <x v="1"/>
    <s v="Female"/>
    <x v="5"/>
    <n v="94.74"/>
    <n v="7"/>
    <n v="33.159999999999997"/>
    <n v="696.34"/>
    <x v="70"/>
    <s v="15:55"/>
    <x v="1"/>
    <n v="663.18"/>
    <n v="4.7618999999999998"/>
    <n v="33.159999999999997"/>
    <n v="6.4"/>
  </r>
  <r>
    <x v="214"/>
    <x v="1"/>
    <s v="Mandalay"/>
    <x v="0"/>
    <s v="Male"/>
    <x v="4"/>
    <n v="86.44"/>
    <n v="5"/>
    <n v="21.61"/>
    <n v="453.81"/>
    <x v="8"/>
    <s v="17:00"/>
    <x v="0"/>
    <n v="432.2"/>
    <n v="4.7618999999999998"/>
    <n v="21.61"/>
    <n v="6.5"/>
  </r>
  <r>
    <x v="215"/>
    <x v="0"/>
    <s v="Naypyitaw"/>
    <x v="0"/>
    <s v="Male"/>
    <x v="4"/>
    <n v="32.950000000000003"/>
    <n v="6"/>
    <n v="9.8800000000000008"/>
    <n v="207.58"/>
    <x v="80"/>
    <s v="11:35"/>
    <x v="1"/>
    <n v="197.7"/>
    <n v="4.7618999999999998"/>
    <n v="9.8800000000000008"/>
    <n v="4.5999999999999996"/>
  </r>
  <r>
    <x v="216"/>
    <x v="2"/>
    <s v="Yangon"/>
    <x v="0"/>
    <s v="Male"/>
    <x v="2"/>
    <n v="70.63"/>
    <n v="10"/>
    <n v="35.31"/>
    <n v="741.61"/>
    <x v="55"/>
    <s v="11:15"/>
    <x v="0"/>
    <n v="706.3"/>
    <n v="4.7618999999999998"/>
    <n v="35.31"/>
    <n v="8.3000000000000007"/>
  </r>
  <r>
    <x v="217"/>
    <x v="2"/>
    <s v="Yangon"/>
    <x v="1"/>
    <s v="Female"/>
    <x v="5"/>
    <n v="37.29"/>
    <n v="1"/>
    <n v="1.86"/>
    <n v="39.15"/>
    <x v="69"/>
    <s v="13:55"/>
    <x v="2"/>
    <n v="37.29"/>
    <n v="4.7618999999999998"/>
    <n v="1.86"/>
    <n v="8.5"/>
  </r>
  <r>
    <x v="218"/>
    <x v="1"/>
    <s v="Mandalay"/>
    <x v="0"/>
    <s v="Female"/>
    <x v="2"/>
    <n v="92.36"/>
    <n v="9"/>
    <n v="41.56"/>
    <n v="872.8"/>
    <x v="59"/>
    <s v="14:30"/>
    <x v="1"/>
    <n v="831.24"/>
    <n v="4.7618999999999998"/>
    <n v="41.56"/>
    <n v="7.2"/>
  </r>
  <r>
    <x v="219"/>
    <x v="1"/>
    <s v="Mandalay"/>
    <x v="1"/>
    <s v="Male"/>
    <x v="3"/>
    <n v="89.45"/>
    <n v="8"/>
    <n v="35.78"/>
    <n v="751.38"/>
    <x v="75"/>
    <s v="17:25"/>
    <x v="2"/>
    <n v="715.6"/>
    <n v="4.7618999999999998"/>
    <n v="35.78"/>
    <n v="6.2"/>
  </r>
  <r>
    <x v="220"/>
    <x v="2"/>
    <s v="Yangon"/>
    <x v="0"/>
    <s v="Female"/>
    <x v="1"/>
    <n v="33.47"/>
    <n v="10"/>
    <n v="16.73"/>
    <n v="351.43"/>
    <x v="21"/>
    <s v="16:20"/>
    <x v="2"/>
    <n v="334.7"/>
    <n v="4.7618999999999998"/>
    <n v="16.73"/>
    <n v="5.2"/>
  </r>
  <r>
    <x v="221"/>
    <x v="1"/>
    <s v="Mandalay"/>
    <x v="0"/>
    <s v="Male"/>
    <x v="3"/>
    <n v="68.91"/>
    <n v="6"/>
    <n v="20.67"/>
    <n v="434.13"/>
    <x v="39"/>
    <s v="17:55"/>
    <x v="0"/>
    <n v="413.46"/>
    <n v="4.7618999999999998"/>
    <n v="20.67"/>
    <n v="8.4"/>
  </r>
  <r>
    <x v="222"/>
    <x v="2"/>
    <s v="Yangon"/>
    <x v="1"/>
    <s v="Female"/>
    <x v="4"/>
    <n v="74.83"/>
    <n v="8"/>
    <n v="29.93"/>
    <n v="628.57000000000005"/>
    <x v="18"/>
    <s v="18:50"/>
    <x v="2"/>
    <n v="598.64"/>
    <n v="4.7618999999999998"/>
    <n v="29.93"/>
    <n v="7.1"/>
  </r>
  <r>
    <x v="223"/>
    <x v="2"/>
    <s v="Yangon"/>
    <x v="0"/>
    <s v="Female"/>
    <x v="2"/>
    <n v="22.37"/>
    <n v="4"/>
    <n v="4.47"/>
    <n v="93.95"/>
    <x v="36"/>
    <s v="12:00"/>
    <x v="2"/>
    <n v="89.48"/>
    <n v="4.7618999999999998"/>
    <n v="4.47"/>
    <n v="7"/>
  </r>
  <r>
    <x v="224"/>
    <x v="2"/>
    <s v="Yangon"/>
    <x v="1"/>
    <s v="Male"/>
    <x v="1"/>
    <n v="10.6"/>
    <n v="9"/>
    <n v="4.7699999999999996"/>
    <n v="100.17"/>
    <x v="29"/>
    <s v="10:00"/>
    <x v="0"/>
    <n v="95.4"/>
    <n v="4.7618999999999998"/>
    <n v="4.7699999999999996"/>
    <n v="8.3000000000000007"/>
  </r>
  <r>
    <x v="225"/>
    <x v="1"/>
    <s v="Mandalay"/>
    <x v="0"/>
    <s v="Male"/>
    <x v="4"/>
    <n v="19.63"/>
    <n v="2"/>
    <n v="1.96"/>
    <n v="41.22"/>
    <x v="70"/>
    <s v="12:15"/>
    <x v="2"/>
    <n v="39.26"/>
    <n v="4.7618999999999998"/>
    <n v="1.96"/>
    <n v="7.7"/>
  </r>
  <r>
    <x v="226"/>
    <x v="1"/>
    <s v="Mandalay"/>
    <x v="1"/>
    <s v="Male"/>
    <x v="1"/>
    <n v="43.57"/>
    <n v="7"/>
    <n v="15.25"/>
    <n v="320.24"/>
    <x v="45"/>
    <s v="19:15"/>
    <x v="0"/>
    <n v="304.99"/>
    <n v="4.7618999999999998"/>
    <n v="15.25"/>
    <n v="5.4"/>
  </r>
  <r>
    <x v="227"/>
    <x v="2"/>
    <s v="Yangon"/>
    <x v="0"/>
    <s v="Female"/>
    <x v="2"/>
    <n v="44.13"/>
    <n v="9"/>
    <n v="19.86"/>
    <n v="417.03"/>
    <x v="50"/>
    <s v="10:50"/>
    <x v="2"/>
    <n v="397.17"/>
    <n v="4.7618999999999998"/>
    <n v="19.86"/>
    <n v="8.1999999999999993"/>
  </r>
  <r>
    <x v="228"/>
    <x v="1"/>
    <s v="Mandalay"/>
    <x v="1"/>
    <s v="Male"/>
    <x v="3"/>
    <n v="97.96"/>
    <n v="2"/>
    <n v="9.8000000000000007"/>
    <n v="205.72"/>
    <x v="70"/>
    <s v="10:15"/>
    <x v="2"/>
    <n v="195.92"/>
    <n v="4.7618999999999998"/>
    <n v="9.8000000000000007"/>
    <n v="9.4"/>
  </r>
  <r>
    <x v="229"/>
    <x v="0"/>
    <s v="Naypyitaw"/>
    <x v="1"/>
    <s v="Male"/>
    <x v="1"/>
    <n v="93.17"/>
    <n v="5"/>
    <n v="23.29"/>
    <n v="489.14"/>
    <x v="63"/>
    <s v="19:50"/>
    <x v="2"/>
    <n v="465.85"/>
    <n v="4.7618999999999998"/>
    <n v="23.29"/>
    <n v="5.0999999999999996"/>
  </r>
  <r>
    <x v="230"/>
    <x v="1"/>
    <s v="Mandalay"/>
    <x v="0"/>
    <s v="Female"/>
    <x v="3"/>
    <n v="22.98"/>
    <n v="7"/>
    <n v="8.0399999999999991"/>
    <n v="168.9"/>
    <x v="15"/>
    <s v="14:10"/>
    <x v="0"/>
    <n v="160.86000000000001"/>
    <n v="4.7618999999999998"/>
    <n v="8.0399999999999991"/>
    <n v="5.4"/>
  </r>
  <r>
    <x v="231"/>
    <x v="1"/>
    <s v="Mandalay"/>
    <x v="1"/>
    <s v="Male"/>
    <x v="0"/>
    <n v="22.6"/>
    <n v="2"/>
    <n v="2.2599999999999998"/>
    <n v="47.46"/>
    <x v="1"/>
    <s v="15:00"/>
    <x v="2"/>
    <n v="45.2"/>
    <n v="4.7618999999999998"/>
    <n v="2.2599999999999998"/>
    <n v="6.6"/>
  </r>
  <r>
    <x v="232"/>
    <x v="2"/>
    <s v="Yangon"/>
    <x v="1"/>
    <s v="Male"/>
    <x v="5"/>
    <n v="12.67"/>
    <n v="5"/>
    <n v="3.17"/>
    <n v="66.52"/>
    <x v="68"/>
    <s v="17:15"/>
    <x v="1"/>
    <n v="63.35"/>
    <n v="4.7618999999999998"/>
    <n v="3.17"/>
    <n v="7.3"/>
  </r>
  <r>
    <x v="233"/>
    <x v="1"/>
    <s v="Mandalay"/>
    <x v="0"/>
    <s v="Male"/>
    <x v="1"/>
    <n v="79.5"/>
    <n v="5"/>
    <n v="19.88"/>
    <n v="417.38"/>
    <x v="40"/>
    <s v="11:05"/>
    <x v="1"/>
    <n v="397.5"/>
    <n v="4.7618999999999998"/>
    <n v="19.88"/>
    <n v="4.9000000000000004"/>
  </r>
  <r>
    <x v="234"/>
    <x v="0"/>
    <s v="Naypyitaw"/>
    <x v="0"/>
    <s v="Male"/>
    <x v="5"/>
    <n v="42.46"/>
    <n v="2"/>
    <n v="4.25"/>
    <n v="89.17"/>
    <x v="78"/>
    <s v="14:35"/>
    <x v="1"/>
    <n v="84.92"/>
    <n v="4.7618999999999998"/>
    <n v="4.25"/>
    <n v="8.6"/>
  </r>
  <r>
    <x v="235"/>
    <x v="2"/>
    <s v="Yangon"/>
    <x v="0"/>
    <s v="Female"/>
    <x v="2"/>
    <n v="50.4"/>
    <n v="9"/>
    <n v="22.68"/>
    <n v="476.28"/>
    <x v="9"/>
    <s v="16:05"/>
    <x v="2"/>
    <n v="453.6"/>
    <n v="4.7618999999999998"/>
    <n v="22.68"/>
    <n v="4.5"/>
  </r>
  <r>
    <x v="236"/>
    <x v="2"/>
    <s v="Yangon"/>
    <x v="1"/>
    <s v="Male"/>
    <x v="1"/>
    <n v="36.270000000000003"/>
    <n v="7"/>
    <n v="12.69"/>
    <n v="266.58"/>
    <x v="22"/>
    <s v="18:15"/>
    <x v="0"/>
    <n v="253.89"/>
    <n v="4.7618999999999998"/>
    <n v="12.69"/>
    <n v="7.1"/>
  </r>
  <r>
    <x v="237"/>
    <x v="1"/>
    <s v="Mandalay"/>
    <x v="0"/>
    <s v="Female"/>
    <x v="5"/>
    <n v="37.1"/>
    <n v="8"/>
    <n v="14.84"/>
    <n v="311.64"/>
    <x v="8"/>
    <s v="11:10"/>
    <x v="1"/>
    <n v="296.8"/>
    <n v="4.7618999999999998"/>
    <n v="14.84"/>
    <n v="5.7"/>
  </r>
  <r>
    <x v="238"/>
    <x v="1"/>
    <s v="Mandalay"/>
    <x v="0"/>
    <s v="Male"/>
    <x v="5"/>
    <n v="94.98"/>
    <n v="8"/>
    <n v="37.99"/>
    <n v="797.83"/>
    <x v="10"/>
    <s v="19:15"/>
    <x v="1"/>
    <n v="759.84"/>
    <n v="4.7618999999999998"/>
    <n v="37.99"/>
    <n v="4.5999999999999996"/>
  </r>
  <r>
    <x v="239"/>
    <x v="2"/>
    <s v="Yangon"/>
    <x v="1"/>
    <s v="Male"/>
    <x v="3"/>
    <n v="44.19"/>
    <n v="6"/>
    <n v="13.26"/>
    <n v="278.39999999999998"/>
    <x v="64"/>
    <s v="15:30"/>
    <x v="0"/>
    <n v="265.14"/>
    <n v="4.7618999999999998"/>
    <n v="13.26"/>
    <n v="9.8000000000000007"/>
  </r>
  <r>
    <x v="240"/>
    <x v="1"/>
    <s v="Mandalay"/>
    <x v="1"/>
    <s v="Female"/>
    <x v="2"/>
    <n v="38.28"/>
    <n v="7"/>
    <n v="13.4"/>
    <n v="281.36"/>
    <x v="56"/>
    <s v="14:55"/>
    <x v="0"/>
    <n v="267.95999999999998"/>
    <n v="4.7618999999999998"/>
    <n v="13.4"/>
    <n v="7.8"/>
  </r>
  <r>
    <x v="241"/>
    <x v="2"/>
    <s v="Yangon"/>
    <x v="1"/>
    <s v="Male"/>
    <x v="5"/>
    <n v="83.48"/>
    <n v="7"/>
    <n v="29.22"/>
    <n v="613.58000000000004"/>
    <x v="53"/>
    <s v="11:45"/>
    <x v="2"/>
    <n v="584.36"/>
    <n v="4.7618999999999998"/>
    <n v="29.22"/>
    <n v="7.6"/>
  </r>
  <r>
    <x v="242"/>
    <x v="2"/>
    <s v="Yangon"/>
    <x v="0"/>
    <s v="Male"/>
    <x v="0"/>
    <n v="28.87"/>
    <n v="5"/>
    <n v="7.22"/>
    <n v="151.57"/>
    <x v="81"/>
    <s v="11:30"/>
    <x v="0"/>
    <n v="144.35"/>
    <n v="4.7618999999999998"/>
    <n v="7.22"/>
    <n v="7"/>
  </r>
  <r>
    <x v="243"/>
    <x v="1"/>
    <s v="Mandalay"/>
    <x v="0"/>
    <s v="Male"/>
    <x v="0"/>
    <n v="23.87"/>
    <n v="7"/>
    <n v="8.35"/>
    <n v="175.44"/>
    <x v="79"/>
    <s v="11:35"/>
    <x v="0"/>
    <n v="167.09"/>
    <n v="4.7618999999999998"/>
    <n v="8.35"/>
    <n v="6.9"/>
  </r>
  <r>
    <x v="244"/>
    <x v="0"/>
    <s v="Naypyitaw"/>
    <x v="1"/>
    <s v="Female"/>
    <x v="5"/>
    <n v="73.150000000000006"/>
    <n v="9"/>
    <n v="32.92"/>
    <n v="691.27"/>
    <x v="10"/>
    <s v="20:05"/>
    <x v="2"/>
    <n v="658.35"/>
    <n v="4.7618999999999998"/>
    <n v="32.92"/>
    <n v="8.6"/>
  </r>
  <r>
    <x v="245"/>
    <x v="0"/>
    <s v="Naypyitaw"/>
    <x v="1"/>
    <s v="Female"/>
    <x v="0"/>
    <n v="65.14"/>
    <n v="10"/>
    <n v="32.57"/>
    <n v="683.97"/>
    <x v="80"/>
    <s v="20:50"/>
    <x v="1"/>
    <n v="651.4"/>
    <n v="4.7618999999999998"/>
    <n v="32.57"/>
    <n v="9.8000000000000007"/>
  </r>
  <r>
    <x v="246"/>
    <x v="1"/>
    <s v="Mandalay"/>
    <x v="0"/>
    <s v="Female"/>
    <x v="1"/>
    <n v="33.29"/>
    <n v="9"/>
    <n v="14.98"/>
    <n v="314.58999999999997"/>
    <x v="72"/>
    <s v="18:45"/>
    <x v="0"/>
    <n v="299.61"/>
    <n v="4.7618999999999998"/>
    <n v="14.98"/>
    <n v="7.5"/>
  </r>
  <r>
    <x v="247"/>
    <x v="1"/>
    <s v="Mandalay"/>
    <x v="1"/>
    <s v="Male"/>
    <x v="0"/>
    <n v="62.97"/>
    <n v="9"/>
    <n v="28.34"/>
    <n v="595.07000000000005"/>
    <x v="82"/>
    <s v="15:00"/>
    <x v="1"/>
    <n v="566.73"/>
    <n v="4.7618999999999998"/>
    <n v="28.34"/>
    <n v="4.5999999999999996"/>
  </r>
  <r>
    <x v="248"/>
    <x v="2"/>
    <s v="Yangon"/>
    <x v="0"/>
    <s v="Female"/>
    <x v="5"/>
    <n v="38.07"/>
    <n v="8"/>
    <n v="15.23"/>
    <n v="319.79000000000002"/>
    <x v="83"/>
    <s v="18:35"/>
    <x v="1"/>
    <n v="304.56"/>
    <n v="4.7618999999999998"/>
    <n v="15.23"/>
    <n v="6.9"/>
  </r>
  <r>
    <x v="249"/>
    <x v="0"/>
    <s v="Naypyitaw"/>
    <x v="1"/>
    <s v="Male"/>
    <x v="1"/>
    <n v="37.020000000000003"/>
    <n v="2"/>
    <n v="3.7"/>
    <n v="77.739999999999995"/>
    <x v="37"/>
    <s v="15:50"/>
    <x v="2"/>
    <n v="74.040000000000006"/>
    <n v="4.7618999999999998"/>
    <n v="3.7"/>
    <n v="8.1"/>
  </r>
  <r>
    <x v="250"/>
    <x v="0"/>
    <s v="Naypyitaw"/>
    <x v="0"/>
    <s v="Female"/>
    <x v="3"/>
    <n v="24.41"/>
    <n v="9"/>
    <n v="10.98"/>
    <n v="230.67"/>
    <x v="84"/>
    <s v="17:15"/>
    <x v="1"/>
    <n v="219.69"/>
    <n v="4.7618999999999998"/>
    <n v="10.98"/>
    <n v="7.8"/>
  </r>
  <r>
    <x v="251"/>
    <x v="0"/>
    <s v="Naypyitaw"/>
    <x v="1"/>
    <s v="Male"/>
    <x v="1"/>
    <n v="76.36"/>
    <n v="4"/>
    <n v="15.27"/>
    <n v="320.70999999999998"/>
    <x v="68"/>
    <s v="19:30"/>
    <x v="1"/>
    <n v="305.44"/>
    <n v="4.7618999999999998"/>
    <n v="15.27"/>
    <n v="4"/>
  </r>
  <r>
    <x v="252"/>
    <x v="2"/>
    <s v="Yangon"/>
    <x v="1"/>
    <s v="Female"/>
    <x v="3"/>
    <n v="19.16"/>
    <n v="9"/>
    <n v="8.6199999999999992"/>
    <n v="181.06"/>
    <x v="18"/>
    <s v="15:25"/>
    <x v="2"/>
    <n v="172.44"/>
    <n v="4.7618999999999998"/>
    <n v="8.6199999999999992"/>
    <n v="6.7"/>
  </r>
  <r>
    <x v="253"/>
    <x v="0"/>
    <s v="Naypyitaw"/>
    <x v="1"/>
    <s v="Male"/>
    <x v="3"/>
    <n v="44.98"/>
    <n v="7"/>
    <n v="15.74"/>
    <n v="330.6"/>
    <x v="14"/>
    <s v="11:25"/>
    <x v="1"/>
    <n v="314.86"/>
    <n v="4.7618999999999998"/>
    <n v="15.74"/>
    <n v="9.1"/>
  </r>
  <r>
    <x v="254"/>
    <x v="2"/>
    <s v="Yangon"/>
    <x v="1"/>
    <s v="Female"/>
    <x v="0"/>
    <n v="22.06"/>
    <n v="2"/>
    <n v="2.21"/>
    <n v="46.33"/>
    <x v="35"/>
    <s v="14:05"/>
    <x v="2"/>
    <n v="44.12"/>
    <n v="4.7618999999999998"/>
    <n v="2.21"/>
    <n v="6.2"/>
  </r>
  <r>
    <x v="255"/>
    <x v="0"/>
    <s v="Naypyitaw"/>
    <x v="1"/>
    <s v="Male"/>
    <x v="3"/>
    <n v="22.41"/>
    <n v="7"/>
    <n v="7.84"/>
    <n v="164.71"/>
    <x v="84"/>
    <s v="12:35"/>
    <x v="0"/>
    <n v="156.87"/>
    <n v="4.7618999999999998"/>
    <n v="7.84"/>
    <n v="7.2"/>
  </r>
  <r>
    <x v="256"/>
    <x v="2"/>
    <s v="Yangon"/>
    <x v="0"/>
    <s v="Male"/>
    <x v="5"/>
    <n v="22.63"/>
    <n v="6"/>
    <n v="6.79"/>
    <n v="142.57"/>
    <x v="68"/>
    <s v="19:00"/>
    <x v="1"/>
    <n v="135.78"/>
    <n v="4.7618999999999998"/>
    <n v="6.79"/>
    <n v="9.6999999999999993"/>
  </r>
  <r>
    <x v="257"/>
    <x v="2"/>
    <s v="Yangon"/>
    <x v="0"/>
    <s v="Male"/>
    <x v="3"/>
    <n v="55.49"/>
    <n v="8"/>
    <n v="22.2"/>
    <n v="466.12"/>
    <x v="29"/>
    <s v="20:35"/>
    <x v="1"/>
    <n v="443.92"/>
    <n v="4.7618999999999998"/>
    <n v="22.2"/>
    <n v="8.3000000000000007"/>
  </r>
  <r>
    <x v="258"/>
    <x v="1"/>
    <s v="Mandalay"/>
    <x v="0"/>
    <s v="Female"/>
    <x v="3"/>
    <n v="12.78"/>
    <n v="4"/>
    <n v="2.56"/>
    <n v="53.68"/>
    <x v="60"/>
    <s v="10:20"/>
    <x v="2"/>
    <n v="51.12"/>
    <n v="4.7618999999999998"/>
    <n v="2.56"/>
    <n v="7.2"/>
  </r>
  <r>
    <x v="259"/>
    <x v="1"/>
    <s v="Mandalay"/>
    <x v="1"/>
    <s v="Female"/>
    <x v="3"/>
    <n v="20.28"/>
    <n v="9"/>
    <n v="9.1300000000000008"/>
    <n v="191.65"/>
    <x v="53"/>
    <s v="18:00"/>
    <x v="0"/>
    <n v="182.52"/>
    <n v="4.7618999999999998"/>
    <n v="9.1300000000000008"/>
    <n v="6.6"/>
  </r>
  <r>
    <x v="260"/>
    <x v="1"/>
    <s v="Mandalay"/>
    <x v="0"/>
    <s v="Female"/>
    <x v="5"/>
    <n v="88.73"/>
    <n v="1"/>
    <n v="4.4400000000000004"/>
    <n v="93.17"/>
    <x v="68"/>
    <s v="14:25"/>
    <x v="2"/>
    <n v="88.73"/>
    <n v="4.7618999999999998"/>
    <n v="4.4400000000000004"/>
    <n v="6.6"/>
  </r>
  <r>
    <x v="261"/>
    <x v="2"/>
    <s v="Yangon"/>
    <x v="0"/>
    <s v="Male"/>
    <x v="0"/>
    <n v="64.92"/>
    <n v="7"/>
    <n v="22.72"/>
    <n v="477.16"/>
    <x v="38"/>
    <s v="19:10"/>
    <x v="2"/>
    <n v="454.44"/>
    <n v="4.7618999999999998"/>
    <n v="22.72"/>
    <n v="8.9"/>
  </r>
  <r>
    <x v="262"/>
    <x v="2"/>
    <s v="Yangon"/>
    <x v="1"/>
    <s v="Male"/>
    <x v="3"/>
    <n v="58.49"/>
    <n v="6"/>
    <n v="17.55"/>
    <n v="368.49"/>
    <x v="60"/>
    <s v="14:45"/>
    <x v="1"/>
    <n v="350.94"/>
    <n v="4.7618999999999998"/>
    <n v="17.55"/>
    <n v="9.6999999999999993"/>
  </r>
  <r>
    <x v="263"/>
    <x v="0"/>
    <s v="Naypyitaw"/>
    <x v="0"/>
    <s v="Female"/>
    <x v="2"/>
    <n v="92.69"/>
    <n v="5"/>
    <n v="23.17"/>
    <n v="486.62"/>
    <x v="62"/>
    <s v="12:55"/>
    <x v="2"/>
    <n v="463.45"/>
    <n v="4.7618999999999998"/>
    <n v="23.17"/>
    <n v="5.5"/>
  </r>
  <r>
    <x v="264"/>
    <x v="1"/>
    <s v="Mandalay"/>
    <x v="0"/>
    <s v="Male"/>
    <x v="2"/>
    <n v="22.8"/>
    <n v="5"/>
    <n v="5.7"/>
    <n v="119.7"/>
    <x v="58"/>
    <s v="16:30"/>
    <x v="1"/>
    <n v="114"/>
    <n v="4.7618999999999998"/>
    <n v="5.7"/>
    <n v="4.5"/>
  </r>
  <r>
    <x v="265"/>
    <x v="2"/>
    <s v="Yangon"/>
    <x v="1"/>
    <s v="Male"/>
    <x v="0"/>
    <n v="94.27"/>
    <n v="6"/>
    <n v="28.28"/>
    <n v="593.9"/>
    <x v="45"/>
    <s v="17:25"/>
    <x v="0"/>
    <n v="565.62"/>
    <n v="4.7618999999999998"/>
    <n v="28.28"/>
    <n v="4"/>
  </r>
  <r>
    <x v="266"/>
    <x v="0"/>
    <s v="Naypyitaw"/>
    <x v="0"/>
    <s v="Male"/>
    <x v="0"/>
    <n v="69.77"/>
    <n v="6"/>
    <n v="20.93"/>
    <n v="439.55"/>
    <x v="36"/>
    <s v="18:30"/>
    <x v="2"/>
    <n v="418.62"/>
    <n v="4.7618999999999998"/>
    <n v="20.93"/>
    <n v="9.8000000000000007"/>
  </r>
  <r>
    <x v="267"/>
    <x v="2"/>
    <s v="Yangon"/>
    <x v="1"/>
    <s v="Male"/>
    <x v="5"/>
    <n v="84.55"/>
    <n v="6"/>
    <n v="25.37"/>
    <n v="532.66999999999996"/>
    <x v="25"/>
    <s v="19:10"/>
    <x v="0"/>
    <n v="507.3"/>
    <n v="4.7618999999999998"/>
    <n v="25.37"/>
    <n v="9.1"/>
  </r>
  <r>
    <x v="268"/>
    <x v="1"/>
    <s v="Mandalay"/>
    <x v="0"/>
    <s v="Female"/>
    <x v="1"/>
    <n v="66.36"/>
    <n v="8"/>
    <n v="26.54"/>
    <n v="557.41999999999996"/>
    <x v="37"/>
    <s v="11:10"/>
    <x v="1"/>
    <n v="530.88"/>
    <n v="4.7618999999999998"/>
    <n v="26.54"/>
    <n v="6.7"/>
  </r>
  <r>
    <x v="269"/>
    <x v="2"/>
    <s v="Yangon"/>
    <x v="0"/>
    <s v="Male"/>
    <x v="4"/>
    <n v="88.7"/>
    <n v="5"/>
    <n v="22.18"/>
    <n v="465.68"/>
    <x v="19"/>
    <s v="20:25"/>
    <x v="1"/>
    <n v="443.5"/>
    <n v="4.7618999999999998"/>
    <n v="22.18"/>
    <n v="4.5"/>
  </r>
  <r>
    <x v="270"/>
    <x v="0"/>
    <s v="Naypyitaw"/>
    <x v="0"/>
    <s v="Female"/>
    <x v="2"/>
    <n v="66.3"/>
    <n v="4"/>
    <n v="13.26"/>
    <n v="278.45999999999998"/>
    <x v="84"/>
    <s v="20:05"/>
    <x v="0"/>
    <n v="265.2"/>
    <n v="4.7618999999999998"/>
    <n v="13.26"/>
    <n v="4.5999999999999996"/>
  </r>
  <r>
    <x v="271"/>
    <x v="1"/>
    <s v="Mandalay"/>
    <x v="0"/>
    <s v="Female"/>
    <x v="3"/>
    <n v="30.36"/>
    <n v="8"/>
    <n v="12.14"/>
    <n v="255.02"/>
    <x v="77"/>
    <s v="10:55"/>
    <x v="1"/>
    <n v="242.88"/>
    <n v="4.7618999999999998"/>
    <n v="12.14"/>
    <n v="8.9"/>
  </r>
  <r>
    <x v="272"/>
    <x v="1"/>
    <s v="Mandalay"/>
    <x v="0"/>
    <s v="Male"/>
    <x v="1"/>
    <n v="30.61"/>
    <n v="2"/>
    <n v="3.06"/>
    <n v="64.28"/>
    <x v="42"/>
    <s v="11:25"/>
    <x v="1"/>
    <n v="61.22"/>
    <n v="4.7618999999999998"/>
    <n v="3.06"/>
    <n v="9.3000000000000007"/>
  </r>
  <r>
    <x v="273"/>
    <x v="1"/>
    <s v="Mandalay"/>
    <x v="0"/>
    <s v="Female"/>
    <x v="1"/>
    <n v="57.75"/>
    <n v="1"/>
    <n v="2.89"/>
    <n v="60.64"/>
    <x v="43"/>
    <s v="20:10"/>
    <x v="1"/>
    <n v="57.75"/>
    <n v="4.7618999999999998"/>
    <n v="2.89"/>
    <n v="6.1"/>
  </r>
  <r>
    <x v="274"/>
    <x v="0"/>
    <s v="Naypyitaw"/>
    <x v="0"/>
    <s v="Male"/>
    <x v="3"/>
    <n v="71.790000000000006"/>
    <n v="4"/>
    <n v="14.36"/>
    <n v="301.52"/>
    <x v="19"/>
    <s v="11:10"/>
    <x v="2"/>
    <n v="287.16000000000003"/>
    <n v="4.7618999999999998"/>
    <n v="14.36"/>
    <n v="7.5"/>
  </r>
  <r>
    <x v="275"/>
    <x v="1"/>
    <s v="Mandalay"/>
    <x v="1"/>
    <s v="Male"/>
    <x v="4"/>
    <n v="32.299999999999997"/>
    <n v="2"/>
    <n v="3.23"/>
    <n v="67.83"/>
    <x v="40"/>
    <s v="18:45"/>
    <x v="0"/>
    <n v="64.599999999999994"/>
    <n v="4.7618999999999998"/>
    <n v="3.23"/>
    <n v="8.3000000000000007"/>
  </r>
  <r>
    <x v="276"/>
    <x v="0"/>
    <s v="Naypyitaw"/>
    <x v="0"/>
    <s v="Male"/>
    <x v="4"/>
    <n v="56.6"/>
    <n v="9"/>
    <n v="25.47"/>
    <n v="534.87"/>
    <x v="16"/>
    <s v="16:20"/>
    <x v="0"/>
    <n v="509.4"/>
    <n v="4.7618999999999998"/>
    <n v="25.47"/>
    <n v="4.3"/>
  </r>
  <r>
    <x v="277"/>
    <x v="2"/>
    <s v="Yangon"/>
    <x v="1"/>
    <s v="Male"/>
    <x v="1"/>
    <n v="31.7"/>
    <n v="10"/>
    <n v="15.85"/>
    <n v="332.85"/>
    <x v="15"/>
    <s v="18:00"/>
    <x v="1"/>
    <n v="317"/>
    <n v="4.7618999999999998"/>
    <n v="15.85"/>
    <n v="9.6"/>
  </r>
  <r>
    <x v="278"/>
    <x v="1"/>
    <s v="Mandalay"/>
    <x v="1"/>
    <s v="Male"/>
    <x v="3"/>
    <n v="71.459999999999994"/>
    <n v="8"/>
    <n v="28.58"/>
    <n v="600.26"/>
    <x v="15"/>
    <s v="10:45"/>
    <x v="2"/>
    <n v="571.67999999999995"/>
    <n v="4.7618999999999998"/>
    <n v="28.58"/>
    <n v="4.0999999999999996"/>
  </r>
  <r>
    <x v="279"/>
    <x v="2"/>
    <s v="Yangon"/>
    <x v="0"/>
    <s v="Male"/>
    <x v="3"/>
    <n v="35.78"/>
    <n v="9"/>
    <n v="16.100000000000001"/>
    <n v="338.12"/>
    <x v="74"/>
    <s v="16:55"/>
    <x v="1"/>
    <n v="322.02"/>
    <n v="4.7618999999999998"/>
    <n v="16.100000000000001"/>
    <n v="4.5"/>
  </r>
  <r>
    <x v="280"/>
    <x v="0"/>
    <s v="Naypyitaw"/>
    <x v="0"/>
    <s v="Male"/>
    <x v="1"/>
    <n v="37.89"/>
    <n v="9"/>
    <n v="17.05"/>
    <n v="358.06"/>
    <x v="83"/>
    <s v="12:40"/>
    <x v="1"/>
    <n v="341.01"/>
    <n v="4.7618999999999998"/>
    <n v="17.05"/>
    <n v="6.3"/>
  </r>
  <r>
    <x v="281"/>
    <x v="0"/>
    <s v="Naypyitaw"/>
    <x v="0"/>
    <s v="Male"/>
    <x v="0"/>
    <n v="49.37"/>
    <n v="4"/>
    <n v="9.8699999999999992"/>
    <n v="207.35"/>
    <x v="17"/>
    <s v="13:05"/>
    <x v="1"/>
    <n v="197.48"/>
    <n v="4.7618999999999998"/>
    <n v="9.8699999999999992"/>
    <n v="4.7"/>
  </r>
  <r>
    <x v="282"/>
    <x v="0"/>
    <s v="Naypyitaw"/>
    <x v="0"/>
    <s v="Male"/>
    <x v="0"/>
    <n v="76.75"/>
    <n v="3"/>
    <n v="11.51"/>
    <n v="241.76"/>
    <x v="41"/>
    <s v="10:55"/>
    <x v="2"/>
    <n v="230.25"/>
    <n v="4.7618999999999998"/>
    <n v="11.51"/>
    <n v="8.1999999999999993"/>
  </r>
  <r>
    <x v="283"/>
    <x v="1"/>
    <s v="Mandalay"/>
    <x v="1"/>
    <s v="Male"/>
    <x v="4"/>
    <n v="43.47"/>
    <n v="5"/>
    <n v="10.87"/>
    <n v="228.22"/>
    <x v="41"/>
    <s v="10:25"/>
    <x v="1"/>
    <n v="217.35"/>
    <n v="4.7618999999999998"/>
    <n v="10.87"/>
    <n v="5.6"/>
  </r>
  <r>
    <x v="284"/>
    <x v="1"/>
    <s v="Mandalay"/>
    <x v="0"/>
    <s v="Male"/>
    <x v="2"/>
    <n v="55.97"/>
    <n v="1"/>
    <n v="2.8"/>
    <n v="58.77"/>
    <x v="85"/>
    <s v="19:10"/>
    <x v="1"/>
    <n v="55.97"/>
    <n v="4.7618999999999998"/>
    <n v="2.8"/>
    <n v="4.9000000000000004"/>
  </r>
  <r>
    <x v="285"/>
    <x v="2"/>
    <s v="Yangon"/>
    <x v="0"/>
    <s v="Female"/>
    <x v="0"/>
    <n v="55.79"/>
    <n v="1"/>
    <n v="2.79"/>
    <n v="58.58"/>
    <x v="77"/>
    <s v="13:00"/>
    <x v="1"/>
    <n v="55.79"/>
    <n v="4.7618999999999998"/>
    <n v="2.79"/>
    <n v="6.2"/>
  </r>
  <r>
    <x v="286"/>
    <x v="2"/>
    <s v="Yangon"/>
    <x v="0"/>
    <s v="Male"/>
    <x v="4"/>
    <n v="38.96"/>
    <n v="7"/>
    <n v="13.64"/>
    <n v="286.36"/>
    <x v="56"/>
    <s v="14:05"/>
    <x v="0"/>
    <n v="272.72000000000003"/>
    <n v="4.7618999999999998"/>
    <n v="13.64"/>
    <n v="6.2"/>
  </r>
  <r>
    <x v="287"/>
    <x v="0"/>
    <s v="Naypyitaw"/>
    <x v="0"/>
    <s v="Female"/>
    <x v="4"/>
    <n v="82.39"/>
    <n v="1"/>
    <n v="4.12"/>
    <n v="86.51"/>
    <x v="7"/>
    <s v="11:35"/>
    <x v="1"/>
    <n v="82.39"/>
    <n v="4.7618999999999998"/>
    <n v="4.12"/>
    <n v="8.6"/>
  </r>
  <r>
    <x v="288"/>
    <x v="1"/>
    <s v="Mandalay"/>
    <x v="0"/>
    <s v="Male"/>
    <x v="1"/>
    <n v="43.2"/>
    <n v="5"/>
    <n v="10.8"/>
    <n v="226.8"/>
    <x v="86"/>
    <s v="14:55"/>
    <x v="0"/>
    <n v="216"/>
    <n v="4.7618999999999998"/>
    <n v="10.8"/>
    <n v="5.5"/>
  </r>
  <r>
    <x v="289"/>
    <x v="0"/>
    <s v="Naypyitaw"/>
    <x v="1"/>
    <s v="Female"/>
    <x v="0"/>
    <n v="91.04"/>
    <n v="4"/>
    <n v="18.21"/>
    <n v="382.37"/>
    <x v="82"/>
    <s v="10:30"/>
    <x v="2"/>
    <n v="364.16"/>
    <n v="4.7618999999999998"/>
    <n v="18.21"/>
    <n v="5.4"/>
  </r>
  <r>
    <x v="290"/>
    <x v="0"/>
    <s v="Naypyitaw"/>
    <x v="0"/>
    <s v="Male"/>
    <x v="1"/>
    <n v="78.3"/>
    <n v="7"/>
    <n v="27.41"/>
    <n v="575.51"/>
    <x v="12"/>
    <s v="11:15"/>
    <x v="0"/>
    <n v="548.1"/>
    <n v="4.7618999999999998"/>
    <n v="27.41"/>
    <n v="9.9"/>
  </r>
  <r>
    <x v="291"/>
    <x v="1"/>
    <s v="Mandalay"/>
    <x v="0"/>
    <s v="Female"/>
    <x v="0"/>
    <n v="35.18"/>
    <n v="1"/>
    <n v="1.76"/>
    <n v="36.94"/>
    <x v="57"/>
    <s v="18:30"/>
    <x v="0"/>
    <n v="35.18"/>
    <n v="4.7618999999999998"/>
    <n v="1.76"/>
    <n v="9.4"/>
  </r>
  <r>
    <x v="292"/>
    <x v="0"/>
    <s v="Naypyitaw"/>
    <x v="0"/>
    <s v="Female"/>
    <x v="3"/>
    <n v="22.02"/>
    <n v="7"/>
    <n v="7.71"/>
    <n v="161.85"/>
    <x v="15"/>
    <s v="19:45"/>
    <x v="2"/>
    <n v="154.13999999999999"/>
    <n v="4.7618999999999998"/>
    <n v="7.71"/>
    <n v="6.6"/>
  </r>
  <r>
    <x v="293"/>
    <x v="2"/>
    <s v="Yangon"/>
    <x v="1"/>
    <s v="Male"/>
    <x v="5"/>
    <n v="93.34"/>
    <n v="7"/>
    <n v="32.67"/>
    <n v="686.05"/>
    <x v="59"/>
    <s v="15:35"/>
    <x v="1"/>
    <n v="653.38"/>
    <n v="4.7618999999999998"/>
    <n v="32.67"/>
    <n v="5.4"/>
  </r>
  <r>
    <x v="294"/>
    <x v="2"/>
    <s v="Yangon"/>
    <x v="0"/>
    <s v="Female"/>
    <x v="1"/>
    <n v="24.79"/>
    <n v="8"/>
    <n v="9.92"/>
    <n v="208.24"/>
    <x v="56"/>
    <s v="16:05"/>
    <x v="0"/>
    <n v="198.32"/>
    <n v="4.7618999999999998"/>
    <n v="9.92"/>
    <n v="6.1"/>
  </r>
  <r>
    <x v="295"/>
    <x v="2"/>
    <s v="Yangon"/>
    <x v="1"/>
    <s v="Male"/>
    <x v="2"/>
    <n v="33.85"/>
    <n v="2"/>
    <n v="3.39"/>
    <n v="71.09"/>
    <x v="19"/>
    <s v="12:50"/>
    <x v="1"/>
    <n v="67.7"/>
    <n v="4.7618999999999998"/>
    <n v="3.39"/>
    <n v="9"/>
  </r>
  <r>
    <x v="296"/>
    <x v="0"/>
    <s v="Naypyitaw"/>
    <x v="0"/>
    <s v="Female"/>
    <x v="5"/>
    <n v="23.35"/>
    <n v="4"/>
    <n v="4.67"/>
    <n v="98.07"/>
    <x v="28"/>
    <s v="16:40"/>
    <x v="2"/>
    <n v="93.4"/>
    <n v="4.7618999999999998"/>
    <n v="4.67"/>
    <n v="8.1"/>
  </r>
  <r>
    <x v="297"/>
    <x v="2"/>
    <s v="Yangon"/>
    <x v="0"/>
    <s v="Male"/>
    <x v="2"/>
    <n v="60.04"/>
    <n v="9"/>
    <n v="27.02"/>
    <n v="567.38"/>
    <x v="40"/>
    <s v="11:35"/>
    <x v="2"/>
    <n v="540.36"/>
    <n v="4.7618999999999998"/>
    <n v="27.02"/>
    <n v="8.8000000000000007"/>
  </r>
  <r>
    <x v="298"/>
    <x v="2"/>
    <s v="Yangon"/>
    <x v="0"/>
    <s v="Female"/>
    <x v="4"/>
    <n v="21.76"/>
    <n v="7"/>
    <n v="7.62"/>
    <n v="159.94"/>
    <x v="67"/>
    <s v="20:50"/>
    <x v="0"/>
    <n v="152.32"/>
    <n v="4.7618999999999998"/>
    <n v="7.62"/>
    <n v="4.5"/>
  </r>
  <r>
    <x v="299"/>
    <x v="1"/>
    <s v="Mandalay"/>
    <x v="0"/>
    <s v="Female"/>
    <x v="1"/>
    <n v="27.8"/>
    <n v="8"/>
    <n v="11.12"/>
    <n v="233.52"/>
    <x v="27"/>
    <s v="11:25"/>
    <x v="2"/>
    <n v="222.4"/>
    <n v="4.7618999999999998"/>
    <n v="11.12"/>
    <n v="4.3"/>
  </r>
  <r>
    <x v="300"/>
    <x v="2"/>
    <s v="Yangon"/>
    <x v="0"/>
    <s v="Male"/>
    <x v="0"/>
    <n v="45.55"/>
    <n v="1"/>
    <n v="2.2799999999999998"/>
    <n v="47.83"/>
    <x v="79"/>
    <s v="20:30"/>
    <x v="2"/>
    <n v="45.55"/>
    <n v="4.7618999999999998"/>
    <n v="2.2799999999999998"/>
    <n v="6.1"/>
  </r>
  <r>
    <x v="301"/>
    <x v="1"/>
    <s v="Mandalay"/>
    <x v="1"/>
    <s v="Male"/>
    <x v="4"/>
    <n v="13.12"/>
    <n v="10"/>
    <n v="6.56"/>
    <n v="137.76"/>
    <x v="43"/>
    <s v="13:50"/>
    <x v="1"/>
    <n v="131.19999999999999"/>
    <n v="4.7618999999999998"/>
    <n v="6.56"/>
    <n v="7"/>
  </r>
  <r>
    <x v="302"/>
    <x v="1"/>
    <s v="Mandalay"/>
    <x v="0"/>
    <s v="Female"/>
    <x v="5"/>
    <n v="44.47"/>
    <n v="7"/>
    <n v="15.56"/>
    <n v="326.85000000000002"/>
    <x v="30"/>
    <s v="20:40"/>
    <x v="2"/>
    <n v="311.29000000000002"/>
    <n v="4.7618999999999998"/>
    <n v="15.56"/>
    <n v="7.8"/>
  </r>
  <r>
    <x v="303"/>
    <x v="0"/>
    <s v="Naypyitaw"/>
    <x v="0"/>
    <s v="Male"/>
    <x v="0"/>
    <n v="42.32"/>
    <n v="9"/>
    <n v="19.04"/>
    <n v="399.92"/>
    <x v="44"/>
    <s v="15:45"/>
    <x v="0"/>
    <n v="380.88"/>
    <n v="4.7618999999999998"/>
    <n v="19.04"/>
    <n v="5.9"/>
  </r>
  <r>
    <x v="304"/>
    <x v="2"/>
    <s v="Yangon"/>
    <x v="0"/>
    <s v="Male"/>
    <x v="3"/>
    <n v="29.71"/>
    <n v="5"/>
    <n v="7.43"/>
    <n v="155.97999999999999"/>
    <x v="17"/>
    <s v="17:40"/>
    <x v="1"/>
    <n v="148.55000000000001"/>
    <n v="4.7618999999999998"/>
    <n v="7.43"/>
    <n v="8.6"/>
  </r>
  <r>
    <x v="305"/>
    <x v="2"/>
    <s v="Yangon"/>
    <x v="0"/>
    <s v="Female"/>
    <x v="0"/>
    <n v="31.7"/>
    <n v="9"/>
    <n v="14.27"/>
    <n v="299.57"/>
    <x v="17"/>
    <s v="13:45"/>
    <x v="1"/>
    <n v="285.3"/>
    <n v="4.7618999999999998"/>
    <n v="14.27"/>
    <n v="6.1"/>
  </r>
  <r>
    <x v="306"/>
    <x v="2"/>
    <s v="Yangon"/>
    <x v="0"/>
    <s v="Female"/>
    <x v="3"/>
    <n v="38.619999999999997"/>
    <n v="6"/>
    <n v="11.59"/>
    <n v="243.31"/>
    <x v="14"/>
    <s v="10:55"/>
    <x v="0"/>
    <n v="231.72"/>
    <n v="4.7618999999999998"/>
    <n v="11.59"/>
    <n v="6.1"/>
  </r>
  <r>
    <x v="307"/>
    <x v="0"/>
    <s v="Naypyitaw"/>
    <x v="0"/>
    <s v="Female"/>
    <x v="2"/>
    <n v="58.79"/>
    <n v="3"/>
    <n v="8.82"/>
    <n v="185.19"/>
    <x v="44"/>
    <s v="10:05"/>
    <x v="2"/>
    <n v="176.37"/>
    <n v="4.7618999999999998"/>
    <n v="8.82"/>
    <n v="5.4"/>
  </r>
  <r>
    <x v="308"/>
    <x v="2"/>
    <s v="Yangon"/>
    <x v="1"/>
    <s v="Female"/>
    <x v="5"/>
    <n v="92.61"/>
    <n v="4"/>
    <n v="18.52"/>
    <n v="388.96"/>
    <x v="27"/>
    <s v="15:55"/>
    <x v="2"/>
    <n v="370.44"/>
    <n v="4.7618999999999998"/>
    <n v="18.52"/>
    <n v="9.5"/>
  </r>
  <r>
    <x v="309"/>
    <x v="1"/>
    <s v="Mandalay"/>
    <x v="0"/>
    <s v="Female"/>
    <x v="4"/>
    <n v="62.79"/>
    <n v="3"/>
    <n v="9.42"/>
    <n v="197.79"/>
    <x v="46"/>
    <s v="18:25"/>
    <x v="2"/>
    <n v="188.37"/>
    <n v="4.7618999999999998"/>
    <n v="9.42"/>
    <n v="6.2"/>
  </r>
  <r>
    <x v="310"/>
    <x v="1"/>
    <s v="Mandalay"/>
    <x v="0"/>
    <s v="Male"/>
    <x v="5"/>
    <n v="39.03"/>
    <n v="3"/>
    <n v="5.85"/>
    <n v="122.94"/>
    <x v="11"/>
    <s v="20:35"/>
    <x v="0"/>
    <n v="117.09"/>
    <n v="4.7618999999999998"/>
    <n v="5.85"/>
    <n v="5.9"/>
  </r>
  <r>
    <x v="311"/>
    <x v="0"/>
    <s v="Naypyitaw"/>
    <x v="1"/>
    <s v="Female"/>
    <x v="0"/>
    <n v="63.01"/>
    <n v="3"/>
    <n v="9.4499999999999993"/>
    <n v="198.48"/>
    <x v="79"/>
    <s v="14:55"/>
    <x v="0"/>
    <n v="189.03"/>
    <n v="4.7618999999999998"/>
    <n v="9.4499999999999993"/>
    <n v="5.8"/>
  </r>
  <r>
    <x v="312"/>
    <x v="0"/>
    <s v="Naypyitaw"/>
    <x v="0"/>
    <s v="Male"/>
    <x v="3"/>
    <n v="12.91"/>
    <n v="10"/>
    <n v="6.46"/>
    <n v="135.56"/>
    <x v="56"/>
    <s v="19:15"/>
    <x v="0"/>
    <n v="129.1"/>
    <n v="4.7618999999999998"/>
    <n v="6.46"/>
    <n v="7.4"/>
  </r>
  <r>
    <x v="313"/>
    <x v="2"/>
    <s v="Yangon"/>
    <x v="1"/>
    <s v="Female"/>
    <x v="4"/>
    <n v="41.21"/>
    <n v="6"/>
    <n v="12.36"/>
    <n v="259.62"/>
    <x v="38"/>
    <s v="20:05"/>
    <x v="0"/>
    <n v="247.26"/>
    <n v="4.7618999999999998"/>
    <n v="12.36"/>
    <n v="8"/>
  </r>
  <r>
    <x v="314"/>
    <x v="1"/>
    <s v="Mandalay"/>
    <x v="1"/>
    <s v="Female"/>
    <x v="5"/>
    <n v="28.87"/>
    <n v="2"/>
    <n v="2.89"/>
    <n v="60.63"/>
    <x v="66"/>
    <s v="14:05"/>
    <x v="0"/>
    <n v="57.74"/>
    <n v="4.7618999999999998"/>
    <n v="2.89"/>
    <n v="4"/>
  </r>
  <r>
    <x v="315"/>
    <x v="1"/>
    <s v="Mandalay"/>
    <x v="1"/>
    <s v="Female"/>
    <x v="2"/>
    <n v="54.38"/>
    <n v="7"/>
    <n v="19.03"/>
    <n v="399.69"/>
    <x v="66"/>
    <s v="18:30"/>
    <x v="2"/>
    <n v="380.66"/>
    <n v="4.7618999999999998"/>
    <n v="19.03"/>
    <n v="9"/>
  </r>
  <r>
    <x v="316"/>
    <x v="0"/>
    <s v="Naypyitaw"/>
    <x v="0"/>
    <s v="Female"/>
    <x v="2"/>
    <n v="16.63"/>
    <n v="1"/>
    <n v="0.83"/>
    <n v="17.46"/>
    <x v="60"/>
    <s v="10:25"/>
    <x v="1"/>
    <n v="16.63"/>
    <n v="4.7618999999999998"/>
    <n v="0.83"/>
    <n v="9.6999999999999993"/>
  </r>
  <r>
    <x v="317"/>
    <x v="1"/>
    <s v="Mandalay"/>
    <x v="0"/>
    <s v="Male"/>
    <x v="4"/>
    <n v="75.88"/>
    <n v="9"/>
    <n v="34.15"/>
    <n v="717.07"/>
    <x v="19"/>
    <s v="15:45"/>
    <x v="0"/>
    <n v="682.92"/>
    <n v="4.7618999999999998"/>
    <n v="34.15"/>
    <n v="9.4"/>
  </r>
  <r>
    <x v="318"/>
    <x v="2"/>
    <s v="Yangon"/>
    <x v="1"/>
    <s v="Female"/>
    <x v="3"/>
    <n v="90.08"/>
    <n v="3"/>
    <n v="13.51"/>
    <n v="283.75"/>
    <x v="73"/>
    <s v="11:25"/>
    <x v="2"/>
    <n v="270.24"/>
    <n v="4.7618999999999998"/>
    <n v="13.51"/>
    <n v="9.8000000000000007"/>
  </r>
  <r>
    <x v="319"/>
    <x v="0"/>
    <s v="Naypyitaw"/>
    <x v="1"/>
    <s v="Male"/>
    <x v="5"/>
    <n v="31.38"/>
    <n v="1"/>
    <n v="1.57"/>
    <n v="32.950000000000003"/>
    <x v="87"/>
    <s v="19:40"/>
    <x v="1"/>
    <n v="31.38"/>
    <n v="4.7618999999999998"/>
    <n v="1.57"/>
    <n v="4.9000000000000004"/>
  </r>
  <r>
    <x v="320"/>
    <x v="2"/>
    <s v="Yangon"/>
    <x v="1"/>
    <s v="Female"/>
    <x v="5"/>
    <n v="84.15"/>
    <n v="10"/>
    <n v="42.08"/>
    <n v="883.58"/>
    <x v="76"/>
    <s v="13:05"/>
    <x v="2"/>
    <n v="841.5"/>
    <n v="4.7618999999999998"/>
    <n v="42.08"/>
    <n v="5.2"/>
  </r>
  <r>
    <x v="321"/>
    <x v="1"/>
    <s v="Mandalay"/>
    <x v="0"/>
    <s v="Male"/>
    <x v="1"/>
    <n v="37.75"/>
    <n v="7"/>
    <n v="13.21"/>
    <n v="277.45999999999998"/>
    <x v="50"/>
    <s v="17:50"/>
    <x v="1"/>
    <n v="264.25"/>
    <n v="4.7618999999999998"/>
    <n v="13.21"/>
    <n v="4.5"/>
  </r>
  <r>
    <x v="322"/>
    <x v="1"/>
    <s v="Mandalay"/>
    <x v="0"/>
    <s v="Male"/>
    <x v="2"/>
    <n v="43.25"/>
    <n v="8"/>
    <n v="17.3"/>
    <n v="363.3"/>
    <x v="55"/>
    <s v="14:35"/>
    <x v="1"/>
    <n v="346"/>
    <n v="4.7618999999999998"/>
    <n v="17.3"/>
    <n v="5.6"/>
  </r>
  <r>
    <x v="323"/>
    <x v="1"/>
    <s v="Mandalay"/>
    <x v="0"/>
    <s v="Female"/>
    <x v="0"/>
    <n v="70.069999999999993"/>
    <n v="2"/>
    <n v="7.01"/>
    <n v="147.15"/>
    <x v="23"/>
    <s v="15:40"/>
    <x v="1"/>
    <n v="140.13999999999999"/>
    <n v="4.7618999999999998"/>
    <n v="7.01"/>
    <n v="9.8000000000000007"/>
  </r>
  <r>
    <x v="324"/>
    <x v="2"/>
    <s v="Yangon"/>
    <x v="0"/>
    <s v="Male"/>
    <x v="3"/>
    <n v="47.68"/>
    <n v="9"/>
    <n v="21.46"/>
    <n v="450.58"/>
    <x v="65"/>
    <s v="17:45"/>
    <x v="2"/>
    <n v="429.12"/>
    <n v="4.7618999999999998"/>
    <n v="21.46"/>
    <n v="6.9"/>
  </r>
  <r>
    <x v="325"/>
    <x v="1"/>
    <s v="Mandalay"/>
    <x v="0"/>
    <s v="Female"/>
    <x v="1"/>
    <n v="95.43"/>
    <n v="8"/>
    <n v="38.17"/>
    <n v="801.61"/>
    <x v="32"/>
    <s v="12:15"/>
    <x v="2"/>
    <n v="763.44"/>
    <n v="4.7618999999999998"/>
    <n v="38.17"/>
    <n v="4.8"/>
  </r>
  <r>
    <x v="326"/>
    <x v="2"/>
    <s v="Yangon"/>
    <x v="1"/>
    <s v="Female"/>
    <x v="0"/>
    <n v="23.31"/>
    <n v="10"/>
    <n v="11.66"/>
    <n v="244.76"/>
    <x v="20"/>
    <s v="15:55"/>
    <x v="2"/>
    <n v="233.1"/>
    <n v="4.7618999999999998"/>
    <n v="11.66"/>
    <n v="4.5"/>
  </r>
  <r>
    <x v="327"/>
    <x v="1"/>
    <s v="Mandalay"/>
    <x v="1"/>
    <s v="Male"/>
    <x v="3"/>
    <n v="51.23"/>
    <n v="1"/>
    <n v="2.56"/>
    <n v="53.79"/>
    <x v="34"/>
    <s v="19:40"/>
    <x v="1"/>
    <n v="51.23"/>
    <n v="4.7618999999999998"/>
    <n v="2.56"/>
    <n v="4.7"/>
  </r>
  <r>
    <x v="328"/>
    <x v="2"/>
    <s v="Yangon"/>
    <x v="0"/>
    <s v="Female"/>
    <x v="3"/>
    <n v="80.16"/>
    <n v="5"/>
    <n v="20.04"/>
    <n v="420.84"/>
    <x v="71"/>
    <s v="15:30"/>
    <x v="1"/>
    <n v="400.8"/>
    <n v="4.7618999999999998"/>
    <n v="20.04"/>
    <n v="6.3"/>
  </r>
  <r>
    <x v="329"/>
    <x v="0"/>
    <s v="Naypyitaw"/>
    <x v="1"/>
    <s v="Female"/>
    <x v="4"/>
    <n v="34.79"/>
    <n v="3"/>
    <n v="5.22"/>
    <n v="109.59"/>
    <x v="34"/>
    <s v="19:50"/>
    <x v="0"/>
    <n v="104.37"/>
    <n v="4.7618999999999998"/>
    <n v="5.22"/>
    <n v="6.4"/>
  </r>
  <r>
    <x v="330"/>
    <x v="1"/>
    <s v="Mandalay"/>
    <x v="0"/>
    <s v="Female"/>
    <x v="0"/>
    <n v="52.77"/>
    <n v="5"/>
    <n v="13.19"/>
    <n v="277.04000000000002"/>
    <x v="67"/>
    <s v="10:25"/>
    <x v="1"/>
    <n v="263.85000000000002"/>
    <n v="4.7618999999999998"/>
    <n v="13.19"/>
    <n v="5.9"/>
  </r>
  <r>
    <x v="331"/>
    <x v="1"/>
    <s v="Mandalay"/>
    <x v="0"/>
    <s v="Female"/>
    <x v="4"/>
    <n v="37.04"/>
    <n v="8"/>
    <n v="14.82"/>
    <n v="311.14"/>
    <x v="59"/>
    <s v="14:55"/>
    <x v="1"/>
    <n v="296.32"/>
    <n v="4.7618999999999998"/>
    <n v="14.82"/>
    <n v="7.6"/>
  </r>
  <r>
    <x v="332"/>
    <x v="2"/>
    <s v="Yangon"/>
    <x v="1"/>
    <s v="Female"/>
    <x v="2"/>
    <n v="76.69"/>
    <n v="9"/>
    <n v="34.51"/>
    <n v="724.72"/>
    <x v="67"/>
    <s v="10:40"/>
    <x v="2"/>
    <n v="690.21"/>
    <n v="4.7618999999999998"/>
    <n v="34.51"/>
    <n v="4.4000000000000004"/>
  </r>
  <r>
    <x v="333"/>
    <x v="0"/>
    <s v="Naypyitaw"/>
    <x v="1"/>
    <s v="Female"/>
    <x v="3"/>
    <n v="89.14"/>
    <n v="1"/>
    <n v="4.46"/>
    <n v="93.6"/>
    <x v="32"/>
    <s v="13:15"/>
    <x v="2"/>
    <n v="89.14"/>
    <n v="4.7618999999999998"/>
    <n v="4.46"/>
    <n v="5.5"/>
  </r>
  <r>
    <x v="334"/>
    <x v="2"/>
    <s v="Yangon"/>
    <x v="1"/>
    <s v="Female"/>
    <x v="5"/>
    <n v="43.15"/>
    <n v="8"/>
    <n v="17.260000000000002"/>
    <n v="362.46"/>
    <x v="1"/>
    <s v="16:50"/>
    <x v="2"/>
    <n v="345.2"/>
    <n v="4.7618999999999998"/>
    <n v="17.260000000000002"/>
    <n v="8.1"/>
  </r>
  <r>
    <x v="335"/>
    <x v="1"/>
    <s v="Mandalay"/>
    <x v="1"/>
    <s v="Male"/>
    <x v="4"/>
    <n v="96.45"/>
    <n v="8"/>
    <n v="38.58"/>
    <n v="810.18"/>
    <x v="14"/>
    <s v="18:25"/>
    <x v="1"/>
    <n v="771.6"/>
    <n v="4.7618999999999998"/>
    <n v="38.58"/>
    <n v="5"/>
  </r>
  <r>
    <x v="336"/>
    <x v="0"/>
    <s v="Naypyitaw"/>
    <x v="0"/>
    <s v="Male"/>
    <x v="1"/>
    <n v="44.79"/>
    <n v="3"/>
    <n v="6.72"/>
    <n v="141.09"/>
    <x v="4"/>
    <s v="13:15"/>
    <x v="0"/>
    <n v="134.37"/>
    <n v="4.7618999999999998"/>
    <n v="6.72"/>
    <n v="5.4"/>
  </r>
  <r>
    <x v="337"/>
    <x v="1"/>
    <s v="Mandalay"/>
    <x v="1"/>
    <s v="Female"/>
    <x v="0"/>
    <n v="10.8"/>
    <n v="3"/>
    <n v="1.62"/>
    <n v="34.020000000000003"/>
    <x v="80"/>
    <s v="12:45"/>
    <x v="2"/>
    <n v="32.4"/>
    <n v="4.7618999999999998"/>
    <n v="1.62"/>
    <n v="5.3"/>
  </r>
  <r>
    <x v="338"/>
    <x v="1"/>
    <s v="Mandalay"/>
    <x v="1"/>
    <s v="Male"/>
    <x v="2"/>
    <n v="86.64"/>
    <n v="8"/>
    <n v="34.659999999999997"/>
    <n v="727.78"/>
    <x v="39"/>
    <s v="13:35"/>
    <x v="1"/>
    <n v="693.12"/>
    <n v="4.7618999999999998"/>
    <n v="34.659999999999997"/>
    <n v="8.1"/>
  </r>
  <r>
    <x v="339"/>
    <x v="0"/>
    <s v="Naypyitaw"/>
    <x v="1"/>
    <s v="Female"/>
    <x v="1"/>
    <n v="56.04"/>
    <n v="6"/>
    <n v="16.809999999999999"/>
    <n v="353.05"/>
    <x v="26"/>
    <s v="20:45"/>
    <x v="0"/>
    <n v="336.24"/>
    <n v="4.7618999999999998"/>
    <n v="16.809999999999999"/>
    <n v="5.7"/>
  </r>
  <r>
    <x v="340"/>
    <x v="2"/>
    <s v="Yangon"/>
    <x v="1"/>
    <s v="Female"/>
    <x v="5"/>
    <n v="98.95"/>
    <n v="6"/>
    <n v="29.69"/>
    <n v="623.39"/>
    <x v="31"/>
    <s v="14:50"/>
    <x v="0"/>
    <n v="593.70000000000005"/>
    <n v="4.7618999999999998"/>
    <n v="29.69"/>
    <n v="9.6999999999999993"/>
  </r>
  <r>
    <x v="341"/>
    <x v="1"/>
    <s v="Mandalay"/>
    <x v="0"/>
    <s v="Female"/>
    <x v="3"/>
    <n v="78.89"/>
    <n v="1"/>
    <n v="3.94"/>
    <n v="82.83"/>
    <x v="10"/>
    <s v="16:50"/>
    <x v="1"/>
    <n v="78.89"/>
    <n v="4.7618999999999998"/>
    <n v="3.94"/>
    <n v="8.1"/>
  </r>
  <r>
    <x v="342"/>
    <x v="2"/>
    <s v="Yangon"/>
    <x v="1"/>
    <s v="Male"/>
    <x v="5"/>
    <n v="91.62"/>
    <n v="7"/>
    <n v="32.07"/>
    <n v="673.41"/>
    <x v="33"/>
    <s v="10:45"/>
    <x v="0"/>
    <n v="641.34"/>
    <n v="4.7618999999999998"/>
    <n v="32.07"/>
    <n v="10"/>
  </r>
  <r>
    <x v="343"/>
    <x v="2"/>
    <s v="Yangon"/>
    <x v="1"/>
    <s v="Female"/>
    <x v="0"/>
    <n v="58.12"/>
    <n v="8"/>
    <n v="23.25"/>
    <n v="488.21"/>
    <x v="23"/>
    <s v="15:40"/>
    <x v="1"/>
    <n v="464.96"/>
    <n v="4.7618999999999998"/>
    <n v="23.25"/>
    <n v="9.1"/>
  </r>
  <r>
    <x v="344"/>
    <x v="0"/>
    <s v="Naypyitaw"/>
    <x v="0"/>
    <s v="Male"/>
    <x v="1"/>
    <n v="52.37"/>
    <n v="5"/>
    <n v="13.09"/>
    <n v="274.94"/>
    <x v="26"/>
    <s v="12:50"/>
    <x v="1"/>
    <n v="261.85000000000002"/>
    <n v="4.7618999999999998"/>
    <n v="13.09"/>
    <n v="7.9"/>
  </r>
  <r>
    <x v="345"/>
    <x v="1"/>
    <s v="Mandalay"/>
    <x v="0"/>
    <s v="Male"/>
    <x v="2"/>
    <n v="80.930000000000007"/>
    <n v="6"/>
    <n v="24.28"/>
    <n v="509.86"/>
    <x v="67"/>
    <s v="14:45"/>
    <x v="1"/>
    <n v="485.58"/>
    <n v="4.7618999999999998"/>
    <n v="24.28"/>
    <n v="6.8"/>
  </r>
  <r>
    <x v="346"/>
    <x v="1"/>
    <s v="Mandalay"/>
    <x v="0"/>
    <s v="Female"/>
    <x v="2"/>
    <n v="90.05"/>
    <n v="9"/>
    <n v="40.520000000000003"/>
    <n v="850.97"/>
    <x v="41"/>
    <s v="20:30"/>
    <x v="0"/>
    <n v="810.45"/>
    <n v="4.7618999999999998"/>
    <n v="40.520000000000003"/>
    <n v="5.8"/>
  </r>
  <r>
    <x v="347"/>
    <x v="2"/>
    <s v="Yangon"/>
    <x v="0"/>
    <s v="Female"/>
    <x v="5"/>
    <n v="46.83"/>
    <n v="10"/>
    <n v="23.42"/>
    <n v="491.72"/>
    <x v="45"/>
    <s v="12:25"/>
    <x v="0"/>
    <n v="468.3"/>
    <n v="4.7618999999999998"/>
    <n v="23.42"/>
    <n v="5.0999999999999996"/>
  </r>
  <r>
    <x v="348"/>
    <x v="1"/>
    <s v="Mandalay"/>
    <x v="1"/>
    <s v="Female"/>
    <x v="5"/>
    <n v="67.099999999999994"/>
    <n v="1"/>
    <n v="3.35"/>
    <n v="70.45"/>
    <x v="68"/>
    <s v="14:15"/>
    <x v="2"/>
    <n v="67.099999999999994"/>
    <n v="4.7618999999999998"/>
    <n v="3.35"/>
    <n v="7.5"/>
  </r>
  <r>
    <x v="349"/>
    <x v="1"/>
    <s v="Mandalay"/>
    <x v="0"/>
    <s v="Female"/>
    <x v="3"/>
    <n v="49.03"/>
    <n v="7"/>
    <n v="17.16"/>
    <n v="360.37"/>
    <x v="7"/>
    <s v="16:35"/>
    <x v="1"/>
    <n v="343.21"/>
    <n v="4.7618999999999998"/>
    <n v="17.16"/>
    <n v="4"/>
  </r>
  <r>
    <x v="350"/>
    <x v="2"/>
    <s v="Yangon"/>
    <x v="1"/>
    <s v="Female"/>
    <x v="5"/>
    <n v="78.12"/>
    <n v="9"/>
    <n v="35.15"/>
    <n v="738.23"/>
    <x v="16"/>
    <s v="10:50"/>
    <x v="2"/>
    <n v="703.08"/>
    <n v="4.7618999999999998"/>
    <n v="35.15"/>
    <n v="7.8"/>
  </r>
  <r>
    <x v="351"/>
    <x v="2"/>
    <s v="Yangon"/>
    <x v="1"/>
    <s v="Male"/>
    <x v="4"/>
    <n v="19.239999999999998"/>
    <n v="9"/>
    <n v="8.66"/>
    <n v="181.82"/>
    <x v="14"/>
    <s v="14:10"/>
    <x v="2"/>
    <n v="173.16"/>
    <n v="4.7618999999999998"/>
    <n v="8.66"/>
    <n v="8.9"/>
  </r>
  <r>
    <x v="352"/>
    <x v="1"/>
    <s v="Mandalay"/>
    <x v="1"/>
    <s v="Male"/>
    <x v="2"/>
    <n v="89.92"/>
    <n v="3"/>
    <n v="13.49"/>
    <n v="283.25"/>
    <x v="54"/>
    <s v="17:25"/>
    <x v="2"/>
    <n v="269.76"/>
    <n v="4.7618999999999998"/>
    <n v="13.49"/>
    <n v="5"/>
  </r>
  <r>
    <x v="353"/>
    <x v="1"/>
    <s v="Mandalay"/>
    <x v="0"/>
    <s v="Female"/>
    <x v="4"/>
    <n v="75.45"/>
    <n v="3"/>
    <n v="11.32"/>
    <n v="237.67"/>
    <x v="69"/>
    <s v="10:45"/>
    <x v="0"/>
    <n v="226.35"/>
    <n v="4.7618999999999998"/>
    <n v="11.32"/>
    <n v="5"/>
  </r>
  <r>
    <x v="354"/>
    <x v="0"/>
    <s v="Naypyitaw"/>
    <x v="0"/>
    <s v="Male"/>
    <x v="0"/>
    <n v="33.020000000000003"/>
    <n v="9"/>
    <n v="14.86"/>
    <n v="312.04000000000002"/>
    <x v="34"/>
    <s v="10:45"/>
    <x v="2"/>
    <n v="297.18"/>
    <n v="4.7618999999999998"/>
    <n v="14.86"/>
    <n v="8"/>
  </r>
  <r>
    <x v="355"/>
    <x v="2"/>
    <s v="Yangon"/>
    <x v="0"/>
    <s v="Female"/>
    <x v="2"/>
    <n v="49.99"/>
    <n v="2"/>
    <n v="5"/>
    <n v="104.98"/>
    <x v="25"/>
    <s v="14:35"/>
    <x v="0"/>
    <n v="99.98"/>
    <n v="4.7618999999999998"/>
    <n v="5"/>
    <n v="4.9000000000000004"/>
  </r>
  <r>
    <x v="356"/>
    <x v="0"/>
    <s v="Naypyitaw"/>
    <x v="0"/>
    <s v="Male"/>
    <x v="2"/>
    <n v="69.55"/>
    <n v="9"/>
    <n v="31.3"/>
    <n v="657.25"/>
    <x v="48"/>
    <s v="19:45"/>
    <x v="0"/>
    <n v="625.95000000000005"/>
    <n v="4.7618999999999998"/>
    <n v="31.3"/>
    <n v="4.8"/>
  </r>
  <r>
    <x v="357"/>
    <x v="2"/>
    <s v="Yangon"/>
    <x v="0"/>
    <s v="Male"/>
    <x v="1"/>
    <n v="80.63"/>
    <n v="8"/>
    <n v="32.25"/>
    <n v="677.29"/>
    <x v="30"/>
    <s v="19:15"/>
    <x v="1"/>
    <n v="645.04"/>
    <n v="4.7618999999999998"/>
    <n v="32.25"/>
    <n v="9"/>
  </r>
  <r>
    <x v="358"/>
    <x v="1"/>
    <s v="Mandalay"/>
    <x v="1"/>
    <s v="Male"/>
    <x v="4"/>
    <n v="13.55"/>
    <n v="8"/>
    <n v="5.42"/>
    <n v="113.82"/>
    <x v="83"/>
    <s v="17:25"/>
    <x v="2"/>
    <n v="108.4"/>
    <n v="4.7618999999999998"/>
    <n v="5.42"/>
    <n v="4"/>
  </r>
  <r>
    <x v="359"/>
    <x v="2"/>
    <s v="Yangon"/>
    <x v="0"/>
    <s v="Male"/>
    <x v="4"/>
    <n v="95.45"/>
    <n v="9"/>
    <n v="42.95"/>
    <n v="902"/>
    <x v="15"/>
    <s v="11:20"/>
    <x v="0"/>
    <n v="859.05"/>
    <n v="4.7618999999999998"/>
    <n v="42.95"/>
    <n v="5.4"/>
  </r>
  <r>
    <x v="360"/>
    <x v="1"/>
    <s v="Mandalay"/>
    <x v="1"/>
    <s v="Female"/>
    <x v="1"/>
    <n v="83.19"/>
    <n v="1"/>
    <n v="4.16"/>
    <n v="87.35"/>
    <x v="60"/>
    <s v="15:50"/>
    <x v="1"/>
    <n v="83.19"/>
    <n v="4.7618999999999998"/>
    <n v="4.16"/>
    <n v="6.6"/>
  </r>
  <r>
    <x v="361"/>
    <x v="2"/>
    <s v="Yangon"/>
    <x v="0"/>
    <s v="Female"/>
    <x v="4"/>
    <n v="69.7"/>
    <n v="3"/>
    <n v="10.46"/>
    <n v="219.56"/>
    <x v="51"/>
    <s v="15:35"/>
    <x v="0"/>
    <n v="209.1"/>
    <n v="4.7618999999999998"/>
    <n v="10.46"/>
    <n v="5.6"/>
  </r>
  <r>
    <x v="362"/>
    <x v="2"/>
    <s v="Yangon"/>
    <x v="1"/>
    <s v="Male"/>
    <x v="4"/>
    <n v="20.239999999999998"/>
    <n v="7"/>
    <n v="7.08"/>
    <n v="148.76"/>
    <x v="45"/>
    <s v="14:30"/>
    <x v="0"/>
    <n v="141.68"/>
    <n v="4.7618999999999998"/>
    <n v="7.08"/>
    <n v="9.1"/>
  </r>
  <r>
    <x v="363"/>
    <x v="1"/>
    <s v="Mandalay"/>
    <x v="0"/>
    <s v="Female"/>
    <x v="4"/>
    <n v="72.66"/>
    <n v="1"/>
    <n v="3.63"/>
    <n v="76.290000000000006"/>
    <x v="2"/>
    <s v="11:30"/>
    <x v="0"/>
    <n v="72.66"/>
    <n v="4.7618999999999998"/>
    <n v="3.63"/>
    <n v="6.9"/>
  </r>
  <r>
    <x v="364"/>
    <x v="0"/>
    <s v="Naypyitaw"/>
    <x v="1"/>
    <s v="Female"/>
    <x v="3"/>
    <n v="44.18"/>
    <n v="6"/>
    <n v="13.25"/>
    <n v="278.33"/>
    <x v="43"/>
    <s v="10:50"/>
    <x v="0"/>
    <n v="265.08"/>
    <n v="4.7618999999999998"/>
    <n v="13.25"/>
    <n v="9.8000000000000007"/>
  </r>
  <r>
    <x v="365"/>
    <x v="1"/>
    <s v="Mandalay"/>
    <x v="1"/>
    <s v="Female"/>
    <x v="2"/>
    <n v="49.66"/>
    <n v="2"/>
    <n v="4.97"/>
    <n v="104.29"/>
    <x v="20"/>
    <s v="20:25"/>
    <x v="2"/>
    <n v="99.32"/>
    <n v="4.7618999999999998"/>
    <n v="4.97"/>
    <n v="8.1999999999999993"/>
  </r>
  <r>
    <x v="366"/>
    <x v="0"/>
    <s v="Naypyitaw"/>
    <x v="0"/>
    <s v="Male"/>
    <x v="3"/>
    <n v="57.08"/>
    <n v="10"/>
    <n v="28.54"/>
    <n v="599.34"/>
    <x v="75"/>
    <s v="16:50"/>
    <x v="0"/>
    <n v="570.79999999999995"/>
    <n v="4.7618999999999998"/>
    <n v="28.54"/>
    <n v="5.5"/>
  </r>
  <r>
    <x v="367"/>
    <x v="0"/>
    <s v="Naypyitaw"/>
    <x v="1"/>
    <s v="Female"/>
    <x v="3"/>
    <n v="90.29"/>
    <n v="10"/>
    <n v="45.15"/>
    <n v="948.05"/>
    <x v="73"/>
    <s v="10:50"/>
    <x v="2"/>
    <n v="902.9"/>
    <n v="4.7618999999999998"/>
    <n v="45.15"/>
    <n v="7"/>
  </r>
  <r>
    <x v="368"/>
    <x v="1"/>
    <s v="Mandalay"/>
    <x v="0"/>
    <s v="Female"/>
    <x v="2"/>
    <n v="38.86"/>
    <n v="6"/>
    <n v="11.66"/>
    <n v="244.82"/>
    <x v="31"/>
    <s v="10:40"/>
    <x v="2"/>
    <n v="233.16"/>
    <n v="4.7618999999999998"/>
    <n v="11.66"/>
    <n v="7.3"/>
  </r>
  <r>
    <x v="369"/>
    <x v="1"/>
    <s v="Mandalay"/>
    <x v="0"/>
    <s v="Female"/>
    <x v="2"/>
    <n v="49.98"/>
    <n v="10"/>
    <n v="24.99"/>
    <n v="524.79"/>
    <x v="68"/>
    <s v="11:35"/>
    <x v="1"/>
    <n v="499.8"/>
    <n v="4.7618999999999998"/>
    <n v="24.99"/>
    <n v="5.9"/>
  </r>
  <r>
    <x v="370"/>
    <x v="0"/>
    <s v="Naypyitaw"/>
    <x v="0"/>
    <s v="Female"/>
    <x v="2"/>
    <n v="47.11"/>
    <n v="9"/>
    <n v="21.2"/>
    <n v="445.19"/>
    <x v="25"/>
    <s v="10:05"/>
    <x v="0"/>
    <n v="423.99"/>
    <n v="4.7618999999999998"/>
    <n v="21.2"/>
    <n v="9.8000000000000007"/>
  </r>
  <r>
    <x v="371"/>
    <x v="1"/>
    <s v="Mandalay"/>
    <x v="0"/>
    <s v="Male"/>
    <x v="5"/>
    <n v="42.7"/>
    <n v="1"/>
    <n v="2.14"/>
    <n v="44.84"/>
    <x v="88"/>
    <s v="17:25"/>
    <x v="0"/>
    <n v="42.7"/>
    <n v="4.7618999999999998"/>
    <n v="2.14"/>
    <n v="8.6"/>
  </r>
  <r>
    <x v="372"/>
    <x v="1"/>
    <s v="Mandalay"/>
    <x v="1"/>
    <s v="Male"/>
    <x v="1"/>
    <n v="18.77"/>
    <n v="4"/>
    <n v="3.75"/>
    <n v="78.83"/>
    <x v="78"/>
    <s v="15:25"/>
    <x v="0"/>
    <n v="75.08"/>
    <n v="4.7618999999999998"/>
    <n v="3.75"/>
    <n v="9.8000000000000007"/>
  </r>
  <r>
    <x v="373"/>
    <x v="0"/>
    <s v="Naypyitaw"/>
    <x v="1"/>
    <s v="Female"/>
    <x v="1"/>
    <n v="90.72"/>
    <n v="8"/>
    <n v="36.29"/>
    <n v="762.05"/>
    <x v="0"/>
    <s v="16:05"/>
    <x v="1"/>
    <n v="725.76"/>
    <n v="4.7618999999999998"/>
    <n v="36.29"/>
    <n v="7.7"/>
  </r>
  <r>
    <x v="374"/>
    <x v="2"/>
    <s v="Yangon"/>
    <x v="1"/>
    <s v="Female"/>
    <x v="2"/>
    <n v="84.21"/>
    <n v="4"/>
    <n v="16.84"/>
    <n v="353.68"/>
    <x v="54"/>
    <s v="11:30"/>
    <x v="2"/>
    <n v="336.84"/>
    <n v="4.7618999999999998"/>
    <n v="16.84"/>
    <n v="9.6"/>
  </r>
  <r>
    <x v="375"/>
    <x v="0"/>
    <s v="Naypyitaw"/>
    <x v="0"/>
    <s v="Male"/>
    <x v="2"/>
    <n v="69.260000000000005"/>
    <n v="9"/>
    <n v="31.17"/>
    <n v="654.51"/>
    <x v="0"/>
    <s v="17:00"/>
    <x v="0"/>
    <n v="623.34"/>
    <n v="4.7618999999999998"/>
    <n v="31.17"/>
    <n v="8.4"/>
  </r>
  <r>
    <x v="376"/>
    <x v="1"/>
    <s v="Mandalay"/>
    <x v="1"/>
    <s v="Female"/>
    <x v="0"/>
    <n v="62.07"/>
    <n v="3"/>
    <n v="9.31"/>
    <n v="195.52"/>
    <x v="42"/>
    <s v="16:50"/>
    <x v="0"/>
    <n v="186.21"/>
    <n v="4.7618999999999998"/>
    <n v="9.31"/>
    <n v="7.6"/>
  </r>
  <r>
    <x v="377"/>
    <x v="0"/>
    <s v="Naypyitaw"/>
    <x v="1"/>
    <s v="Male"/>
    <x v="3"/>
    <n v="92.43"/>
    <n v="4"/>
    <n v="18.489999999999998"/>
    <n v="388.21"/>
    <x v="31"/>
    <s v="16:25"/>
    <x v="1"/>
    <n v="369.72"/>
    <n v="4.7618999999999998"/>
    <n v="18.489999999999998"/>
    <n v="6.7"/>
  </r>
  <r>
    <x v="378"/>
    <x v="2"/>
    <s v="Yangon"/>
    <x v="1"/>
    <s v="Male"/>
    <x v="0"/>
    <n v="59.3"/>
    <n v="6"/>
    <n v="17.79"/>
    <n v="373.59"/>
    <x v="25"/>
    <s v="20:15"/>
    <x v="2"/>
    <n v="355.8"/>
    <n v="4.7618999999999998"/>
    <n v="17.79"/>
    <n v="5.3"/>
  </r>
  <r>
    <x v="379"/>
    <x v="1"/>
    <s v="Mandalay"/>
    <x v="1"/>
    <s v="Female"/>
    <x v="0"/>
    <n v="68.510000000000005"/>
    <n v="3"/>
    <n v="10.28"/>
    <n v="215.81"/>
    <x v="1"/>
    <s v="18:55"/>
    <x v="0"/>
    <n v="205.53"/>
    <n v="4.7618999999999998"/>
    <n v="10.28"/>
    <n v="5.9"/>
  </r>
  <r>
    <x v="380"/>
    <x v="1"/>
    <s v="Mandalay"/>
    <x v="1"/>
    <s v="Male"/>
    <x v="0"/>
    <n v="77.31"/>
    <n v="9"/>
    <n v="34.79"/>
    <n v="730.58"/>
    <x v="47"/>
    <s v="16:00"/>
    <x v="0"/>
    <n v="695.79"/>
    <n v="4.7618999999999998"/>
    <n v="34.79"/>
    <n v="4.5999999999999996"/>
  </r>
  <r>
    <x v="381"/>
    <x v="2"/>
    <s v="Yangon"/>
    <x v="0"/>
    <s v="Female"/>
    <x v="4"/>
    <n v="34.03"/>
    <n v="3"/>
    <n v="5.0999999999999996"/>
    <n v="107.19"/>
    <x v="47"/>
    <s v="20:20"/>
    <x v="2"/>
    <n v="102.09"/>
    <n v="4.7618999999999998"/>
    <n v="5.0999999999999996"/>
    <n v="9"/>
  </r>
  <r>
    <x v="382"/>
    <x v="1"/>
    <s v="Mandalay"/>
    <x v="0"/>
    <s v="Female"/>
    <x v="5"/>
    <n v="83.26"/>
    <n v="2"/>
    <n v="8.33"/>
    <n v="174.85"/>
    <x v="43"/>
    <s v="20:55"/>
    <x v="0"/>
    <n v="166.52"/>
    <n v="4.7618999999999998"/>
    <n v="8.33"/>
    <n v="9.1999999999999993"/>
  </r>
  <r>
    <x v="383"/>
    <x v="0"/>
    <s v="Naypyitaw"/>
    <x v="1"/>
    <s v="Female"/>
    <x v="3"/>
    <n v="80.59"/>
    <n v="5"/>
    <n v="20.149999999999999"/>
    <n v="423.1"/>
    <x v="81"/>
    <s v="20:00"/>
    <x v="1"/>
    <n v="402.95"/>
    <n v="4.7618999999999998"/>
    <n v="20.149999999999999"/>
    <n v="6.3"/>
  </r>
  <r>
    <x v="384"/>
    <x v="0"/>
    <s v="Naypyitaw"/>
    <x v="1"/>
    <s v="Female"/>
    <x v="1"/>
    <n v="76.930000000000007"/>
    <n v="4"/>
    <n v="15.39"/>
    <n v="323.11"/>
    <x v="34"/>
    <s v="17:15"/>
    <x v="0"/>
    <n v="307.72000000000003"/>
    <n v="4.7618999999999998"/>
    <n v="15.39"/>
    <n v="8.1999999999999993"/>
  </r>
  <r>
    <x v="385"/>
    <x v="1"/>
    <s v="Mandalay"/>
    <x v="0"/>
    <s v="Female"/>
    <x v="5"/>
    <n v="50.39"/>
    <n v="2"/>
    <n v="5.04"/>
    <n v="105.82"/>
    <x v="18"/>
    <s v="12:55"/>
    <x v="0"/>
    <n v="100.78"/>
    <n v="4.7618999999999998"/>
    <n v="5.04"/>
    <n v="4.7"/>
  </r>
  <r>
    <x v="386"/>
    <x v="1"/>
    <s v="Mandalay"/>
    <x v="1"/>
    <s v="Male"/>
    <x v="4"/>
    <n v="24.48"/>
    <n v="5"/>
    <n v="6.12"/>
    <n v="128.52000000000001"/>
    <x v="78"/>
    <s v="15:35"/>
    <x v="0"/>
    <n v="122.4"/>
    <n v="4.7618999999999998"/>
    <n v="6.12"/>
    <n v="9.6"/>
  </r>
  <r>
    <x v="387"/>
    <x v="2"/>
    <s v="Yangon"/>
    <x v="1"/>
    <s v="Female"/>
    <x v="0"/>
    <n v="65.400000000000006"/>
    <n v="5"/>
    <n v="16.350000000000001"/>
    <n v="343.35"/>
    <x v="44"/>
    <s v="19:40"/>
    <x v="1"/>
    <n v="327"/>
    <n v="4.7618999999999998"/>
    <n v="16.350000000000001"/>
    <n v="4.4000000000000004"/>
  </r>
  <r>
    <x v="388"/>
    <x v="1"/>
    <s v="Mandalay"/>
    <x v="0"/>
    <s v="Female"/>
    <x v="3"/>
    <n v="16.14"/>
    <n v="9"/>
    <n v="7.26"/>
    <n v="152.52000000000001"/>
    <x v="2"/>
    <s v="16:40"/>
    <x v="0"/>
    <n v="145.26"/>
    <n v="4.7618999999999998"/>
    <n v="7.26"/>
    <n v="6.4"/>
  </r>
  <r>
    <x v="389"/>
    <x v="2"/>
    <s v="Yangon"/>
    <x v="0"/>
    <s v="Male"/>
    <x v="5"/>
    <n v="42.47"/>
    <n v="4"/>
    <n v="8.49"/>
    <n v="178.37"/>
    <x v="34"/>
    <s v="18:35"/>
    <x v="0"/>
    <n v="169.88"/>
    <n v="4.7618999999999998"/>
    <n v="8.49"/>
    <n v="8.9"/>
  </r>
  <r>
    <x v="390"/>
    <x v="2"/>
    <s v="Yangon"/>
    <x v="0"/>
    <s v="Male"/>
    <x v="2"/>
    <n v="31.63"/>
    <n v="10"/>
    <n v="15.82"/>
    <n v="332.12"/>
    <x v="34"/>
    <s v="13:00"/>
    <x v="0"/>
    <n v="316.3"/>
    <n v="4.7618999999999998"/>
    <n v="15.82"/>
    <n v="9.3000000000000007"/>
  </r>
  <r>
    <x v="391"/>
    <x v="2"/>
    <s v="Yangon"/>
    <x v="1"/>
    <s v="Male"/>
    <x v="3"/>
    <n v="75.16"/>
    <n v="1"/>
    <n v="3.76"/>
    <n v="78.92"/>
    <x v="72"/>
    <s v="15:40"/>
    <x v="0"/>
    <n v="75.16"/>
    <n v="4.7618999999999998"/>
    <n v="3.76"/>
    <n v="6.7"/>
  </r>
  <r>
    <x v="392"/>
    <x v="1"/>
    <s v="Mandalay"/>
    <x v="0"/>
    <s v="Male"/>
    <x v="3"/>
    <n v="17.41"/>
    <n v="2"/>
    <n v="1.74"/>
    <n v="36.56"/>
    <x v="38"/>
    <s v="18:40"/>
    <x v="2"/>
    <n v="34.82"/>
    <n v="4.7618999999999998"/>
    <n v="1.74"/>
    <n v="7.8"/>
  </r>
  <r>
    <x v="393"/>
    <x v="0"/>
    <s v="Naypyitaw"/>
    <x v="0"/>
    <s v="Male"/>
    <x v="1"/>
    <n v="28.5"/>
    <n v="7"/>
    <n v="9.98"/>
    <n v="209.48"/>
    <x v="80"/>
    <s v="11:55"/>
    <x v="0"/>
    <n v="199.5"/>
    <n v="4.7618999999999998"/>
    <n v="9.98"/>
    <n v="4.9000000000000004"/>
  </r>
  <r>
    <x v="394"/>
    <x v="0"/>
    <s v="Naypyitaw"/>
    <x v="1"/>
    <s v="Female"/>
    <x v="1"/>
    <n v="16.59"/>
    <n v="3"/>
    <n v="2.4900000000000002"/>
    <n v="52.26"/>
    <x v="39"/>
    <s v="18:05"/>
    <x v="0"/>
    <n v="49.77"/>
    <n v="4.7618999999999998"/>
    <n v="2.4900000000000002"/>
    <n v="8.9"/>
  </r>
  <r>
    <x v="395"/>
    <x v="1"/>
    <s v="Mandalay"/>
    <x v="1"/>
    <s v="Male"/>
    <x v="0"/>
    <n v="46.4"/>
    <n v="6"/>
    <n v="13.92"/>
    <n v="292.32"/>
    <x v="37"/>
    <s v="16:50"/>
    <x v="2"/>
    <n v="278.39999999999998"/>
    <n v="4.7618999999999998"/>
    <n v="13.92"/>
    <n v="7.2"/>
  </r>
  <r>
    <x v="396"/>
    <x v="0"/>
    <s v="Naypyitaw"/>
    <x v="0"/>
    <s v="Female"/>
    <x v="0"/>
    <n v="86.34"/>
    <n v="6"/>
    <n v="25.9"/>
    <n v="543.94000000000005"/>
    <x v="1"/>
    <s v="11:20"/>
    <x v="0"/>
    <n v="518.04"/>
    <n v="4.7618999999999998"/>
    <n v="25.9"/>
    <n v="5.8"/>
  </r>
  <r>
    <x v="397"/>
    <x v="1"/>
    <s v="Mandalay"/>
    <x v="1"/>
    <s v="Male"/>
    <x v="2"/>
    <n v="83.99"/>
    <n v="1"/>
    <n v="4.2"/>
    <n v="88.19"/>
    <x v="50"/>
    <s v="12:40"/>
    <x v="2"/>
    <n v="83.99"/>
    <n v="4.7618999999999998"/>
    <n v="4.2"/>
    <n v="4.8"/>
  </r>
  <r>
    <x v="398"/>
    <x v="0"/>
    <s v="Naypyitaw"/>
    <x v="1"/>
    <s v="Female"/>
    <x v="5"/>
    <n v="70.959999999999994"/>
    <n v="6"/>
    <n v="21.29"/>
    <n v="447.05"/>
    <x v="77"/>
    <s v="18:40"/>
    <x v="2"/>
    <n v="425.76"/>
    <n v="4.7618999999999998"/>
    <n v="21.29"/>
    <n v="4.7"/>
  </r>
  <r>
    <x v="399"/>
    <x v="0"/>
    <s v="Naypyitaw"/>
    <x v="1"/>
    <s v="Female"/>
    <x v="5"/>
    <n v="28.9"/>
    <n v="6"/>
    <n v="8.67"/>
    <n v="182.07"/>
    <x v="69"/>
    <s v="16:50"/>
    <x v="0"/>
    <n v="173.4"/>
    <n v="4.7618999999999998"/>
    <n v="8.67"/>
    <n v="4.9000000000000004"/>
  </r>
  <r>
    <x v="400"/>
    <x v="2"/>
    <s v="Yangon"/>
    <x v="1"/>
    <s v="Female"/>
    <x v="1"/>
    <n v="26.32"/>
    <n v="10"/>
    <n v="13.16"/>
    <n v="276.36"/>
    <x v="73"/>
    <s v="18:35"/>
    <x v="0"/>
    <n v="263.2"/>
    <n v="4.7618999999999998"/>
    <n v="13.16"/>
    <n v="7.3"/>
  </r>
  <r>
    <x v="401"/>
    <x v="0"/>
    <s v="Naypyitaw"/>
    <x v="0"/>
    <s v="Male"/>
    <x v="1"/>
    <n v="27.77"/>
    <n v="10"/>
    <n v="13.88"/>
    <n v="291.58"/>
    <x v="44"/>
    <s v="15:25"/>
    <x v="2"/>
    <n v="277.7"/>
    <n v="4.7618999999999998"/>
    <n v="13.88"/>
    <n v="8"/>
  </r>
  <r>
    <x v="402"/>
    <x v="2"/>
    <s v="Yangon"/>
    <x v="1"/>
    <s v="Female"/>
    <x v="4"/>
    <n v="38.6"/>
    <n v="8"/>
    <n v="15.44"/>
    <n v="324.24"/>
    <x v="51"/>
    <s v="19:50"/>
    <x v="1"/>
    <n v="308.8"/>
    <n v="4.7618999999999998"/>
    <n v="15.44"/>
    <n v="8.1999999999999993"/>
  </r>
  <r>
    <x v="403"/>
    <x v="0"/>
    <s v="Naypyitaw"/>
    <x v="1"/>
    <s v="Male"/>
    <x v="2"/>
    <n v="25.18"/>
    <n v="6"/>
    <n v="7.55"/>
    <n v="158.63"/>
    <x v="40"/>
    <s v="13:55"/>
    <x v="0"/>
    <n v="151.08000000000001"/>
    <n v="4.7618999999999998"/>
    <n v="7.55"/>
    <n v="7.8"/>
  </r>
  <r>
    <x v="404"/>
    <x v="1"/>
    <s v="Mandalay"/>
    <x v="0"/>
    <s v="Male"/>
    <x v="2"/>
    <n v="51.66"/>
    <n v="6"/>
    <n v="15.5"/>
    <n v="325.45999999999998"/>
    <x v="12"/>
    <s v="17:40"/>
    <x v="2"/>
    <n v="309.95999999999998"/>
    <n v="4.7618999999999998"/>
    <n v="15.5"/>
    <n v="5.0999999999999996"/>
  </r>
  <r>
    <x v="405"/>
    <x v="2"/>
    <s v="Yangon"/>
    <x v="1"/>
    <s v="Female"/>
    <x v="3"/>
    <n v="27.68"/>
    <n v="2"/>
    <n v="2.77"/>
    <n v="58.13"/>
    <x v="15"/>
    <s v="10:40"/>
    <x v="0"/>
    <n v="55.36"/>
    <n v="4.7618999999999998"/>
    <n v="2.77"/>
    <n v="4.2"/>
  </r>
  <r>
    <x v="406"/>
    <x v="0"/>
    <s v="Naypyitaw"/>
    <x v="1"/>
    <s v="Female"/>
    <x v="1"/>
    <n v="59.64"/>
    <n v="9"/>
    <n v="26.84"/>
    <n v="563.6"/>
    <x v="63"/>
    <s v="17:50"/>
    <x v="2"/>
    <n v="536.76"/>
    <n v="4.7618999999999998"/>
    <n v="26.84"/>
    <n v="6.2"/>
  </r>
  <r>
    <x v="407"/>
    <x v="0"/>
    <s v="Naypyitaw"/>
    <x v="1"/>
    <s v="Female"/>
    <x v="2"/>
    <n v="55.1"/>
    <n v="2"/>
    <n v="5.51"/>
    <n v="115.71"/>
    <x v="87"/>
    <s v="15:40"/>
    <x v="2"/>
    <n v="110.2"/>
    <n v="4.7618999999999998"/>
    <n v="5.51"/>
    <n v="8"/>
  </r>
  <r>
    <x v="408"/>
    <x v="0"/>
    <s v="Naypyitaw"/>
    <x v="0"/>
    <s v="Female"/>
    <x v="2"/>
    <n v="24.33"/>
    <n v="10"/>
    <n v="12.17"/>
    <n v="255.47"/>
    <x v="86"/>
    <s v="20:10"/>
    <x v="0"/>
    <n v="243.3"/>
    <n v="4.7618999999999998"/>
    <n v="12.17"/>
    <n v="8.4"/>
  </r>
  <r>
    <x v="409"/>
    <x v="2"/>
    <s v="Yangon"/>
    <x v="0"/>
    <s v="Male"/>
    <x v="4"/>
    <n v="15.66"/>
    <n v="6"/>
    <n v="4.7"/>
    <n v="98.66"/>
    <x v="57"/>
    <s v="10:50"/>
    <x v="2"/>
    <n v="93.96"/>
    <n v="4.7618999999999998"/>
    <n v="4.7"/>
    <n v="7.1"/>
  </r>
  <r>
    <x v="410"/>
    <x v="1"/>
    <s v="Mandalay"/>
    <x v="1"/>
    <s v="Male"/>
    <x v="2"/>
    <n v="89.34"/>
    <n v="1"/>
    <n v="4.47"/>
    <n v="93.81"/>
    <x v="62"/>
    <s v="15:05"/>
    <x v="0"/>
    <n v="89.34"/>
    <n v="4.7618999999999998"/>
    <n v="4.47"/>
    <n v="9.8000000000000007"/>
  </r>
  <r>
    <x v="411"/>
    <x v="1"/>
    <s v="Mandalay"/>
    <x v="1"/>
    <s v="Female"/>
    <x v="2"/>
    <n v="68.83"/>
    <n v="6"/>
    <n v="20.65"/>
    <n v="433.63"/>
    <x v="14"/>
    <s v="20:05"/>
    <x v="0"/>
    <n v="412.98"/>
    <n v="4.7618999999999998"/>
    <n v="20.65"/>
    <n v="5.5"/>
  </r>
  <r>
    <x v="412"/>
    <x v="0"/>
    <s v="Naypyitaw"/>
    <x v="1"/>
    <s v="Male"/>
    <x v="5"/>
    <n v="53.82"/>
    <n v="8"/>
    <n v="21.53"/>
    <n v="452.09"/>
    <x v="3"/>
    <s v="10:40"/>
    <x v="2"/>
    <n v="430.56"/>
    <n v="4.7618999999999998"/>
    <n v="21.53"/>
    <n v="6.6"/>
  </r>
  <r>
    <x v="413"/>
    <x v="2"/>
    <s v="Yangon"/>
    <x v="1"/>
    <s v="Female"/>
    <x v="4"/>
    <n v="26.82"/>
    <n v="6"/>
    <n v="8.0500000000000007"/>
    <n v="168.97"/>
    <x v="3"/>
    <s v="11:50"/>
    <x v="2"/>
    <n v="160.91999999999999"/>
    <n v="4.7618999999999998"/>
    <n v="8.0500000000000007"/>
    <n v="6.5"/>
  </r>
  <r>
    <x v="414"/>
    <x v="0"/>
    <s v="Naypyitaw"/>
    <x v="0"/>
    <s v="Male"/>
    <x v="0"/>
    <n v="53.09"/>
    <n v="4"/>
    <n v="10.62"/>
    <n v="222.98"/>
    <x v="14"/>
    <s v="12:50"/>
    <x v="1"/>
    <n v="212.36"/>
    <n v="4.7618999999999998"/>
    <n v="10.62"/>
    <n v="4.0999999999999996"/>
  </r>
  <r>
    <x v="415"/>
    <x v="2"/>
    <s v="Yangon"/>
    <x v="0"/>
    <s v="Female"/>
    <x v="0"/>
    <n v="56.14"/>
    <n v="10"/>
    <n v="28.07"/>
    <n v="589.47"/>
    <x v="8"/>
    <s v="10:10"/>
    <x v="1"/>
    <n v="561.4"/>
    <n v="4.7618999999999998"/>
    <n v="28.07"/>
    <n v="9.5"/>
  </r>
  <r>
    <x v="416"/>
    <x v="1"/>
    <s v="Mandalay"/>
    <x v="0"/>
    <s v="Male"/>
    <x v="1"/>
    <n v="29.49"/>
    <n v="10"/>
    <n v="14.74"/>
    <n v="309.64"/>
    <x v="50"/>
    <s v="17:10"/>
    <x v="2"/>
    <n v="294.89999999999998"/>
    <n v="4.7618999999999998"/>
    <n v="14.74"/>
    <n v="9"/>
  </r>
  <r>
    <x v="417"/>
    <x v="2"/>
    <s v="Yangon"/>
    <x v="0"/>
    <s v="Male"/>
    <x v="4"/>
    <n v="75.180000000000007"/>
    <n v="6"/>
    <n v="22.55"/>
    <n v="473.63"/>
    <x v="45"/>
    <s v="19:45"/>
    <x v="2"/>
    <n v="451.08"/>
    <n v="4.7618999999999998"/>
    <n v="22.55"/>
    <n v="5.4"/>
  </r>
  <r>
    <x v="418"/>
    <x v="2"/>
    <s v="Yangon"/>
    <x v="0"/>
    <s v="Female"/>
    <x v="4"/>
    <n v="57.04"/>
    <n v="9"/>
    <n v="25.67"/>
    <n v="539.03"/>
    <x v="65"/>
    <s v="16:10"/>
    <x v="0"/>
    <n v="513.36"/>
    <n v="4.7618999999999998"/>
    <n v="25.67"/>
    <n v="4.5999999999999996"/>
  </r>
  <r>
    <x v="419"/>
    <x v="0"/>
    <s v="Naypyitaw"/>
    <x v="0"/>
    <s v="Female"/>
    <x v="1"/>
    <n v="53.4"/>
    <n v="3"/>
    <n v="8.01"/>
    <n v="168.21"/>
    <x v="3"/>
    <s v="18:00"/>
    <x v="0"/>
    <n v="160.19999999999999"/>
    <n v="4.7618999999999998"/>
    <n v="8.01"/>
    <n v="7.9"/>
  </r>
  <r>
    <x v="420"/>
    <x v="1"/>
    <s v="Mandalay"/>
    <x v="1"/>
    <s v="Female"/>
    <x v="0"/>
    <n v="57.68"/>
    <n v="4"/>
    <n v="11.54"/>
    <n v="242.26"/>
    <x v="76"/>
    <s v="16:25"/>
    <x v="0"/>
    <n v="230.72"/>
    <n v="4.7618999999999998"/>
    <n v="11.54"/>
    <n v="8.8000000000000007"/>
  </r>
  <r>
    <x v="421"/>
    <x v="0"/>
    <s v="Naypyitaw"/>
    <x v="0"/>
    <s v="Male"/>
    <x v="4"/>
    <n v="32.909999999999997"/>
    <n v="4"/>
    <n v="6.58"/>
    <n v="138.22"/>
    <x v="22"/>
    <s v="14:45"/>
    <x v="0"/>
    <n v="131.63999999999999"/>
    <n v="4.7618999999999998"/>
    <n v="6.58"/>
    <n v="6.5"/>
  </r>
  <r>
    <x v="422"/>
    <x v="2"/>
    <s v="Yangon"/>
    <x v="0"/>
    <s v="Female"/>
    <x v="3"/>
    <n v="10.65"/>
    <n v="4"/>
    <n v="2.13"/>
    <n v="44.73"/>
    <x v="81"/>
    <s v="15:30"/>
    <x v="1"/>
    <n v="42.6"/>
    <n v="4.7618999999999998"/>
    <n v="2.13"/>
    <n v="4.5999999999999996"/>
  </r>
  <r>
    <x v="423"/>
    <x v="0"/>
    <s v="Naypyitaw"/>
    <x v="1"/>
    <s v="Male"/>
    <x v="3"/>
    <n v="48.12"/>
    <n v="6"/>
    <n v="14.44"/>
    <n v="303.16000000000003"/>
    <x v="43"/>
    <s v="14:50"/>
    <x v="1"/>
    <n v="288.72000000000003"/>
    <n v="4.7618999999999998"/>
    <n v="14.44"/>
    <n v="8.5"/>
  </r>
  <r>
    <x v="424"/>
    <x v="0"/>
    <s v="Naypyitaw"/>
    <x v="1"/>
    <s v="Female"/>
    <x v="5"/>
    <n v="60.32"/>
    <n v="8"/>
    <n v="24.13"/>
    <n v="506.69"/>
    <x v="39"/>
    <s v="14:45"/>
    <x v="1"/>
    <n v="482.56"/>
    <n v="4.7618999999999998"/>
    <n v="24.13"/>
    <n v="8.6"/>
  </r>
  <r>
    <x v="425"/>
    <x v="0"/>
    <s v="Naypyitaw"/>
    <x v="0"/>
    <s v="Female"/>
    <x v="0"/>
    <n v="30.68"/>
    <n v="3"/>
    <n v="4.5999999999999996"/>
    <n v="96.64"/>
    <x v="75"/>
    <s v="13:40"/>
    <x v="1"/>
    <n v="92.04"/>
    <n v="4.7618999999999998"/>
    <n v="4.5999999999999996"/>
    <n v="8.6999999999999993"/>
  </r>
  <r>
    <x v="426"/>
    <x v="0"/>
    <s v="Naypyitaw"/>
    <x v="0"/>
    <s v="Female"/>
    <x v="2"/>
    <n v="96.81"/>
    <n v="1"/>
    <n v="4.84"/>
    <n v="101.65"/>
    <x v="19"/>
    <s v="12:35"/>
    <x v="0"/>
    <n v="96.81"/>
    <n v="4.7618999999999998"/>
    <n v="4.84"/>
    <n v="6.6"/>
  </r>
  <r>
    <x v="427"/>
    <x v="1"/>
    <s v="Mandalay"/>
    <x v="0"/>
    <s v="Male"/>
    <x v="1"/>
    <n v="64.81"/>
    <n v="7"/>
    <n v="22.68"/>
    <n v="476.35"/>
    <x v="7"/>
    <s v="19:50"/>
    <x v="0"/>
    <n v="453.67"/>
    <n v="4.7618999999999998"/>
    <n v="22.68"/>
    <n v="5.7"/>
  </r>
  <r>
    <x v="428"/>
    <x v="2"/>
    <s v="Yangon"/>
    <x v="0"/>
    <s v="Male"/>
    <x v="2"/>
    <n v="10.96"/>
    <n v="9"/>
    <n v="4.93"/>
    <n v="103.57"/>
    <x v="47"/>
    <s v="13:00"/>
    <x v="0"/>
    <n v="98.64"/>
    <n v="4.7618999999999998"/>
    <n v="4.93"/>
    <n v="7.1"/>
  </r>
  <r>
    <x v="429"/>
    <x v="2"/>
    <s v="Yangon"/>
    <x v="0"/>
    <s v="Female"/>
    <x v="5"/>
    <n v="31.53"/>
    <n v="1"/>
    <n v="1.58"/>
    <n v="33.11"/>
    <x v="2"/>
    <s v="11:20"/>
    <x v="1"/>
    <n v="31.53"/>
    <n v="4.7618999999999998"/>
    <n v="1.58"/>
    <n v="6.1"/>
  </r>
  <r>
    <x v="430"/>
    <x v="1"/>
    <s v="Mandalay"/>
    <x v="0"/>
    <s v="Female"/>
    <x v="0"/>
    <n v="73.33"/>
    <n v="2"/>
    <n v="7.33"/>
    <n v="153.99"/>
    <x v="25"/>
    <s v="14:55"/>
    <x v="0"/>
    <n v="146.66"/>
    <n v="4.7618999999999998"/>
    <n v="7.33"/>
    <n v="9.5"/>
  </r>
  <r>
    <x v="431"/>
    <x v="1"/>
    <s v="Mandalay"/>
    <x v="1"/>
    <s v="Female"/>
    <x v="3"/>
    <n v="96.68"/>
    <n v="8"/>
    <n v="38.67"/>
    <n v="812.11"/>
    <x v="7"/>
    <s v="19:00"/>
    <x v="1"/>
    <n v="773.44"/>
    <n v="4.7618999999999998"/>
    <n v="38.67"/>
    <n v="5.0999999999999996"/>
  </r>
  <r>
    <x v="432"/>
    <x v="2"/>
    <s v="Yangon"/>
    <x v="0"/>
    <s v="Male"/>
    <x v="5"/>
    <n v="95.23"/>
    <n v="9"/>
    <n v="42.85"/>
    <n v="899.92"/>
    <x v="39"/>
    <s v="18:45"/>
    <x v="1"/>
    <n v="857.07"/>
    <n v="4.7618999999999998"/>
    <n v="42.85"/>
    <n v="8.1999999999999993"/>
  </r>
  <r>
    <x v="433"/>
    <x v="0"/>
    <s v="Naypyitaw"/>
    <x v="1"/>
    <s v="Female"/>
    <x v="5"/>
    <n v="96.51"/>
    <n v="8"/>
    <n v="38.6"/>
    <n v="810.68"/>
    <x v="65"/>
    <s v="17:45"/>
    <x v="2"/>
    <n v="772.08"/>
    <n v="4.7618999999999998"/>
    <n v="38.6"/>
    <n v="6.9"/>
  </r>
  <r>
    <x v="434"/>
    <x v="2"/>
    <s v="Yangon"/>
    <x v="1"/>
    <s v="Female"/>
    <x v="0"/>
    <n v="73.11"/>
    <n v="6"/>
    <n v="21.93"/>
    <n v="460.59"/>
    <x v="29"/>
    <s v="15:40"/>
    <x v="0"/>
    <n v="438.66"/>
    <n v="4.7618999999999998"/>
    <n v="21.93"/>
    <n v="4.0999999999999996"/>
  </r>
  <r>
    <x v="435"/>
    <x v="1"/>
    <s v="Mandalay"/>
    <x v="0"/>
    <s v="Male"/>
    <x v="1"/>
    <n v="45.9"/>
    <n v="6"/>
    <n v="13.77"/>
    <n v="289.17"/>
    <x v="15"/>
    <s v="18:10"/>
    <x v="1"/>
    <n v="275.39999999999998"/>
    <n v="4.7618999999999998"/>
    <n v="13.77"/>
    <n v="5.9"/>
  </r>
  <r>
    <x v="436"/>
    <x v="0"/>
    <s v="Naypyitaw"/>
    <x v="1"/>
    <s v="Female"/>
    <x v="0"/>
    <n v="71.48"/>
    <n v="4"/>
    <n v="14.3"/>
    <n v="300.22000000000003"/>
    <x v="85"/>
    <s v="13:15"/>
    <x v="0"/>
    <n v="285.92"/>
    <n v="4.7618999999999998"/>
    <n v="14.3"/>
    <n v="5.5"/>
  </r>
  <r>
    <x v="437"/>
    <x v="2"/>
    <s v="Yangon"/>
    <x v="0"/>
    <s v="Female"/>
    <x v="4"/>
    <n v="85.27"/>
    <n v="6"/>
    <n v="25.58"/>
    <n v="537.20000000000005"/>
    <x v="82"/>
    <s v="11:05"/>
    <x v="2"/>
    <n v="511.62"/>
    <n v="4.7618999999999998"/>
    <n v="25.58"/>
    <n v="8.1"/>
  </r>
  <r>
    <x v="438"/>
    <x v="1"/>
    <s v="Mandalay"/>
    <x v="0"/>
    <s v="Female"/>
    <x v="2"/>
    <n v="43.41"/>
    <n v="6"/>
    <n v="13.02"/>
    <n v="273.48"/>
    <x v="85"/>
    <s v="19:20"/>
    <x v="1"/>
    <n v="260.45999999999998"/>
    <n v="4.7618999999999998"/>
    <n v="13.02"/>
    <n v="5.0999999999999996"/>
  </r>
  <r>
    <x v="439"/>
    <x v="0"/>
    <s v="Naypyitaw"/>
    <x v="1"/>
    <s v="Male"/>
    <x v="4"/>
    <n v="77.52"/>
    <n v="3"/>
    <n v="11.63"/>
    <n v="244.19"/>
    <x v="73"/>
    <s v="18:30"/>
    <x v="1"/>
    <n v="232.56"/>
    <n v="4.7618999999999998"/>
    <n v="11.63"/>
    <n v="9.6"/>
  </r>
  <r>
    <x v="440"/>
    <x v="0"/>
    <s v="Naypyitaw"/>
    <x v="1"/>
    <s v="Male"/>
    <x v="0"/>
    <n v="79.83"/>
    <n v="8"/>
    <n v="31.93"/>
    <n v="670.57"/>
    <x v="41"/>
    <s v="18:35"/>
    <x v="1"/>
    <n v="638.64"/>
    <n v="4.7618999999999998"/>
    <n v="31.93"/>
    <n v="8.1"/>
  </r>
  <r>
    <x v="441"/>
    <x v="0"/>
    <s v="Naypyitaw"/>
    <x v="0"/>
    <s v="Male"/>
    <x v="3"/>
    <n v="19.07"/>
    <n v="6"/>
    <n v="5.72"/>
    <n v="120.14"/>
    <x v="43"/>
    <s v="14:10"/>
    <x v="0"/>
    <n v="114.42"/>
    <n v="4.7618999999999998"/>
    <n v="5.72"/>
    <n v="5.6"/>
  </r>
  <r>
    <x v="442"/>
    <x v="1"/>
    <s v="Mandalay"/>
    <x v="1"/>
    <s v="Male"/>
    <x v="4"/>
    <n v="54.89"/>
    <n v="4"/>
    <n v="10.98"/>
    <n v="230.54"/>
    <x v="74"/>
    <s v="15:25"/>
    <x v="1"/>
    <n v="219.56"/>
    <n v="4.7618999999999998"/>
    <n v="10.98"/>
    <n v="5.7"/>
  </r>
  <r>
    <x v="443"/>
    <x v="0"/>
    <s v="Naypyitaw"/>
    <x v="0"/>
    <s v="Female"/>
    <x v="1"/>
    <n v="74.87"/>
    <n v="4"/>
    <n v="14.97"/>
    <n v="314.45"/>
    <x v="26"/>
    <s v="16:30"/>
    <x v="2"/>
    <n v="299.48"/>
    <n v="4.7618999999999998"/>
    <n v="14.97"/>
    <n v="4.9000000000000004"/>
  </r>
  <r>
    <x v="444"/>
    <x v="2"/>
    <s v="Yangon"/>
    <x v="1"/>
    <s v="Female"/>
    <x v="4"/>
    <n v="47.94"/>
    <n v="3"/>
    <n v="7.19"/>
    <n v="151.01"/>
    <x v="58"/>
    <s v="18:40"/>
    <x v="0"/>
    <n v="143.82"/>
    <n v="4.7618999999999998"/>
    <n v="7.19"/>
    <n v="5.9"/>
  </r>
  <r>
    <x v="445"/>
    <x v="1"/>
    <s v="Mandalay"/>
    <x v="1"/>
    <s v="Female"/>
    <x v="2"/>
    <n v="18.91"/>
    <n v="3"/>
    <n v="2.84"/>
    <n v="59.57"/>
    <x v="17"/>
    <s v="13:20"/>
    <x v="1"/>
    <n v="56.73"/>
    <n v="4.7618999999999998"/>
    <n v="2.84"/>
    <n v="9"/>
  </r>
  <r>
    <x v="446"/>
    <x v="1"/>
    <s v="Mandalay"/>
    <x v="1"/>
    <s v="Male"/>
    <x v="5"/>
    <n v="42.43"/>
    <n v="9"/>
    <n v="19.09"/>
    <n v="400.96"/>
    <x v="39"/>
    <s v="15:00"/>
    <x v="1"/>
    <n v="381.87"/>
    <n v="4.7618999999999998"/>
    <n v="19.09"/>
    <n v="4.7"/>
  </r>
  <r>
    <x v="447"/>
    <x v="0"/>
    <s v="Naypyitaw"/>
    <x v="0"/>
    <s v="Female"/>
    <x v="5"/>
    <n v="41.96"/>
    <n v="9"/>
    <n v="18.88"/>
    <n v="396.52"/>
    <x v="44"/>
    <s v="17:05"/>
    <x v="1"/>
    <n v="377.64"/>
    <n v="4.7618999999999998"/>
    <n v="18.88"/>
    <n v="7.7"/>
  </r>
  <r>
    <x v="448"/>
    <x v="0"/>
    <s v="Naypyitaw"/>
    <x v="0"/>
    <s v="Female"/>
    <x v="0"/>
    <n v="82.69"/>
    <n v="6"/>
    <n v="24.81"/>
    <n v="520.95000000000005"/>
    <x v="74"/>
    <s v="20:45"/>
    <x v="0"/>
    <n v="496.14"/>
    <n v="4.7618999999999998"/>
    <n v="24.81"/>
    <n v="6.4"/>
  </r>
  <r>
    <x v="449"/>
    <x v="2"/>
    <s v="Yangon"/>
    <x v="0"/>
    <s v="Male"/>
    <x v="4"/>
    <n v="38.21"/>
    <n v="5"/>
    <n v="9.5500000000000007"/>
    <n v="200.6"/>
    <x v="48"/>
    <s v="19:50"/>
    <x v="1"/>
    <n v="191.05"/>
    <n v="4.7618999999999998"/>
    <n v="9.5500000000000007"/>
    <n v="5.6"/>
  </r>
  <r>
    <x v="450"/>
    <x v="1"/>
    <s v="Mandalay"/>
    <x v="1"/>
    <s v="Male"/>
    <x v="4"/>
    <n v="26.55"/>
    <n v="1"/>
    <n v="1.33"/>
    <n v="27.88"/>
    <x v="27"/>
    <s v="13:50"/>
    <x v="1"/>
    <n v="26.55"/>
    <n v="4.7618999999999998"/>
    <n v="1.33"/>
    <n v="9.6"/>
  </r>
  <r>
    <x v="451"/>
    <x v="0"/>
    <s v="Naypyitaw"/>
    <x v="0"/>
    <s v="Female"/>
    <x v="4"/>
    <n v="45.73"/>
    <n v="2"/>
    <n v="4.57"/>
    <n v="96.03"/>
    <x v="36"/>
    <s v="17:40"/>
    <x v="2"/>
    <n v="91.46"/>
    <n v="4.7618999999999998"/>
    <n v="4.57"/>
    <n v="4.2"/>
  </r>
  <r>
    <x v="452"/>
    <x v="0"/>
    <s v="Naypyitaw"/>
    <x v="0"/>
    <s v="Female"/>
    <x v="5"/>
    <n v="65.63"/>
    <n v="2"/>
    <n v="6.56"/>
    <n v="137.82"/>
    <x v="62"/>
    <s v="16:20"/>
    <x v="2"/>
    <n v="131.26"/>
    <n v="4.7618999999999998"/>
    <n v="6.56"/>
    <n v="5.5"/>
  </r>
  <r>
    <x v="453"/>
    <x v="1"/>
    <s v="Mandalay"/>
    <x v="0"/>
    <s v="Female"/>
    <x v="3"/>
    <n v="85.47"/>
    <n v="1"/>
    <n v="4.2699999999999996"/>
    <n v="89.74"/>
    <x v="52"/>
    <s v="20:25"/>
    <x v="1"/>
    <n v="85.47"/>
    <n v="4.7618999999999998"/>
    <n v="4.2699999999999996"/>
    <n v="9.1999999999999993"/>
  </r>
  <r>
    <x v="454"/>
    <x v="0"/>
    <s v="Naypyitaw"/>
    <x v="1"/>
    <s v="Male"/>
    <x v="4"/>
    <n v="97.26"/>
    <n v="9"/>
    <n v="43.77"/>
    <n v="919.11"/>
    <x v="32"/>
    <s v="19:45"/>
    <x v="1"/>
    <n v="875.34"/>
    <n v="4.7618999999999998"/>
    <n v="43.77"/>
    <n v="7.8"/>
  </r>
  <r>
    <x v="455"/>
    <x v="0"/>
    <s v="Naypyitaw"/>
    <x v="1"/>
    <s v="Male"/>
    <x v="5"/>
    <n v="53.35"/>
    <n v="4"/>
    <n v="10.67"/>
    <n v="224.07"/>
    <x v="19"/>
    <s v="17:20"/>
    <x v="1"/>
    <n v="213.4"/>
    <n v="4.7618999999999998"/>
    <n v="10.67"/>
    <n v="6.5"/>
  </r>
  <r>
    <x v="456"/>
    <x v="1"/>
    <s v="Mandalay"/>
    <x v="0"/>
    <s v="Female"/>
    <x v="3"/>
    <n v="83.38"/>
    <n v="3"/>
    <n v="12.51"/>
    <n v="262.64999999999998"/>
    <x v="66"/>
    <s v="14:35"/>
    <x v="0"/>
    <n v="250.14"/>
    <n v="4.7618999999999998"/>
    <n v="12.51"/>
    <n v="4"/>
  </r>
  <r>
    <x v="457"/>
    <x v="1"/>
    <s v="Mandalay"/>
    <x v="1"/>
    <s v="Female"/>
    <x v="2"/>
    <n v="81.819999999999993"/>
    <n v="10"/>
    <n v="40.909999999999997"/>
    <n v="859.11"/>
    <x v="57"/>
    <s v="10:40"/>
    <x v="1"/>
    <n v="818.2"/>
    <n v="4.7618999999999998"/>
    <n v="40.909999999999997"/>
    <n v="5.0999999999999996"/>
  </r>
  <r>
    <x v="458"/>
    <x v="1"/>
    <s v="Mandalay"/>
    <x v="1"/>
    <s v="Female"/>
    <x v="4"/>
    <n v="74.34"/>
    <n v="7"/>
    <n v="26.02"/>
    <n v="546.4"/>
    <x v="79"/>
    <s v="13:20"/>
    <x v="2"/>
    <n v="520.38"/>
    <n v="4.7618999999999998"/>
    <n v="26.02"/>
    <n v="6.5"/>
  </r>
  <r>
    <x v="459"/>
    <x v="0"/>
    <s v="Naypyitaw"/>
    <x v="1"/>
    <s v="Male"/>
    <x v="0"/>
    <n v="76.86"/>
    <n v="5"/>
    <n v="19.22"/>
    <n v="403.52"/>
    <x v="29"/>
    <s v="13:05"/>
    <x v="2"/>
    <n v="384.3"/>
    <n v="4.7618999999999998"/>
    <n v="19.22"/>
    <n v="4.8"/>
  </r>
  <r>
    <x v="460"/>
    <x v="0"/>
    <s v="Naypyitaw"/>
    <x v="1"/>
    <s v="Male"/>
    <x v="5"/>
    <n v="73.040000000000006"/>
    <n v="8"/>
    <n v="29.22"/>
    <n v="613.54"/>
    <x v="16"/>
    <s v="15:00"/>
    <x v="2"/>
    <n v="584.32000000000005"/>
    <n v="4.7618999999999998"/>
    <n v="29.22"/>
    <n v="4.3"/>
  </r>
  <r>
    <x v="461"/>
    <x v="2"/>
    <s v="Yangon"/>
    <x v="0"/>
    <s v="Female"/>
    <x v="5"/>
    <n v="34.229999999999997"/>
    <n v="8"/>
    <n v="13.69"/>
    <n v="287.52999999999997"/>
    <x v="77"/>
    <s v="13:05"/>
    <x v="2"/>
    <n v="273.83999999999997"/>
    <n v="4.7618999999999998"/>
    <n v="13.69"/>
    <n v="4.0999999999999996"/>
  </r>
  <r>
    <x v="462"/>
    <x v="1"/>
    <s v="Mandalay"/>
    <x v="1"/>
    <s v="Male"/>
    <x v="2"/>
    <n v="99.82"/>
    <n v="8"/>
    <n v="39.93"/>
    <n v="838.49"/>
    <x v="52"/>
    <s v="15:05"/>
    <x v="2"/>
    <n v="798.56"/>
    <n v="4.7618999999999998"/>
    <n v="39.93"/>
    <n v="4.3"/>
  </r>
  <r>
    <x v="463"/>
    <x v="1"/>
    <s v="Mandalay"/>
    <x v="0"/>
    <s v="Male"/>
    <x v="4"/>
    <n v="27.3"/>
    <n v="5"/>
    <n v="6.83"/>
    <n v="143.33000000000001"/>
    <x v="79"/>
    <s v="10:05"/>
    <x v="0"/>
    <n v="136.5"/>
    <n v="4.7618999999999998"/>
    <n v="6.83"/>
    <n v="5.5"/>
  </r>
  <r>
    <x v="464"/>
    <x v="1"/>
    <s v="Mandalay"/>
    <x v="0"/>
    <s v="Female"/>
    <x v="4"/>
    <n v="51.48"/>
    <n v="2"/>
    <n v="5.15"/>
    <n v="108.11"/>
    <x v="72"/>
    <s v="20:15"/>
    <x v="1"/>
    <n v="102.96"/>
    <n v="4.7618999999999998"/>
    <n v="5.15"/>
    <n v="6.3"/>
  </r>
  <r>
    <x v="465"/>
    <x v="1"/>
    <s v="Mandalay"/>
    <x v="0"/>
    <s v="Female"/>
    <x v="0"/>
    <n v="94.37"/>
    <n v="9"/>
    <n v="42.47"/>
    <n v="891.8"/>
    <x v="41"/>
    <s v="14:35"/>
    <x v="0"/>
    <n v="849.33"/>
    <n v="4.7618999999999998"/>
    <n v="42.47"/>
    <n v="5.8"/>
  </r>
  <r>
    <x v="466"/>
    <x v="2"/>
    <s v="Yangon"/>
    <x v="0"/>
    <s v="Female"/>
    <x v="4"/>
    <n v="66.959999999999994"/>
    <n v="6"/>
    <n v="20.09"/>
    <n v="421.85"/>
    <x v="77"/>
    <s v="12:20"/>
    <x v="0"/>
    <n v="401.76"/>
    <n v="4.7618999999999998"/>
    <n v="20.09"/>
    <n v="4.7"/>
  </r>
  <r>
    <x v="467"/>
    <x v="2"/>
    <s v="Yangon"/>
    <x v="0"/>
    <s v="Female"/>
    <x v="3"/>
    <n v="80.510000000000005"/>
    <n v="8"/>
    <n v="32.200000000000003"/>
    <n v="676.28"/>
    <x v="81"/>
    <s v="19:10"/>
    <x v="1"/>
    <n v="644.08000000000004"/>
    <n v="4.7618999999999998"/>
    <n v="32.200000000000003"/>
    <n v="8.6"/>
  </r>
  <r>
    <x v="468"/>
    <x v="2"/>
    <s v="Yangon"/>
    <x v="1"/>
    <s v="Female"/>
    <x v="0"/>
    <n v="65.680000000000007"/>
    <n v="1"/>
    <n v="3.28"/>
    <n v="68.959999999999994"/>
    <x v="17"/>
    <s v="15:50"/>
    <x v="2"/>
    <n v="65.680000000000007"/>
    <n v="4.7618999999999998"/>
    <n v="3.28"/>
    <n v="8.1999999999999993"/>
  </r>
  <r>
    <x v="469"/>
    <x v="2"/>
    <s v="Yangon"/>
    <x v="0"/>
    <s v="Male"/>
    <x v="4"/>
    <n v="38.51"/>
    <n v="9"/>
    <n v="17.329999999999998"/>
    <n v="363.92"/>
    <x v="80"/>
    <s v="15:35"/>
    <x v="0"/>
    <n v="346.59"/>
    <n v="4.7618999999999998"/>
    <n v="17.329999999999998"/>
    <n v="5.2"/>
  </r>
  <r>
    <x v="470"/>
    <x v="1"/>
    <s v="Mandalay"/>
    <x v="1"/>
    <s v="Female"/>
    <x v="5"/>
    <n v="90.88"/>
    <n v="8"/>
    <n v="36.35"/>
    <n v="763.39"/>
    <x v="64"/>
    <s v="18:20"/>
    <x v="0"/>
    <n v="727.04"/>
    <n v="4.7618999999999998"/>
    <n v="36.35"/>
    <n v="8.1999999999999993"/>
  </r>
  <r>
    <x v="471"/>
    <x v="0"/>
    <s v="Naypyitaw"/>
    <x v="0"/>
    <s v="Male"/>
    <x v="5"/>
    <n v="75.92"/>
    <n v="5"/>
    <n v="18.98"/>
    <n v="398.58"/>
    <x v="10"/>
    <s v="18:10"/>
    <x v="2"/>
    <n v="379.6"/>
    <n v="4.7618999999999998"/>
    <n v="18.98"/>
    <n v="7.2"/>
  </r>
  <r>
    <x v="472"/>
    <x v="1"/>
    <s v="Mandalay"/>
    <x v="1"/>
    <s v="Male"/>
    <x v="2"/>
    <n v="10.06"/>
    <n v="9"/>
    <n v="4.53"/>
    <n v="95.07"/>
    <x v="79"/>
    <s v="12:00"/>
    <x v="0"/>
    <n v="90.54"/>
    <n v="4.7618999999999998"/>
    <n v="4.53"/>
    <n v="9.1"/>
  </r>
  <r>
    <x v="473"/>
    <x v="0"/>
    <s v="Naypyitaw"/>
    <x v="0"/>
    <s v="Male"/>
    <x v="0"/>
    <n v="15.7"/>
    <n v="9"/>
    <n v="7.07"/>
    <n v="148.37"/>
    <x v="33"/>
    <s v="13:40"/>
    <x v="0"/>
    <n v="141.30000000000001"/>
    <n v="4.7618999999999998"/>
    <n v="7.07"/>
    <n v="7"/>
  </r>
  <r>
    <x v="474"/>
    <x v="2"/>
    <s v="Yangon"/>
    <x v="1"/>
    <s v="Male"/>
    <x v="2"/>
    <n v="67.680000000000007"/>
    <n v="2"/>
    <n v="6.77"/>
    <n v="142.13"/>
    <x v="75"/>
    <s v="18:50"/>
    <x v="2"/>
    <n v="135.36000000000001"/>
    <n v="4.7618999999999998"/>
    <n v="6.77"/>
    <n v="4.3"/>
  </r>
  <r>
    <x v="475"/>
    <x v="2"/>
    <s v="Yangon"/>
    <x v="0"/>
    <s v="Female"/>
    <x v="1"/>
    <n v="53.68"/>
    <n v="2"/>
    <n v="5.37"/>
    <n v="112.73"/>
    <x v="52"/>
    <s v="19:50"/>
    <x v="1"/>
    <n v="107.36"/>
    <n v="4.7618999999999998"/>
    <n v="5.37"/>
    <n v="7.9"/>
  </r>
  <r>
    <x v="476"/>
    <x v="0"/>
    <s v="Naypyitaw"/>
    <x v="1"/>
    <s v="Female"/>
    <x v="5"/>
    <n v="29.87"/>
    <n v="2"/>
    <n v="2.99"/>
    <n v="62.73"/>
    <x v="77"/>
    <s v="13:50"/>
    <x v="1"/>
    <n v="59.74"/>
    <n v="4.7618999999999998"/>
    <n v="2.99"/>
    <n v="9.6"/>
  </r>
  <r>
    <x v="477"/>
    <x v="2"/>
    <s v="Yangon"/>
    <x v="1"/>
    <s v="Female"/>
    <x v="5"/>
    <n v="60.22"/>
    <n v="7"/>
    <n v="21.08"/>
    <n v="442.62"/>
    <x v="67"/>
    <s v="10:45"/>
    <x v="1"/>
    <n v="421.54"/>
    <n v="4.7618999999999998"/>
    <n v="21.08"/>
    <n v="7.2"/>
  </r>
  <r>
    <x v="478"/>
    <x v="2"/>
    <s v="Yangon"/>
    <x v="1"/>
    <s v="Female"/>
    <x v="4"/>
    <n v="96.45"/>
    <n v="2"/>
    <n v="9.65"/>
    <n v="202.55"/>
    <x v="75"/>
    <s v="13:40"/>
    <x v="1"/>
    <n v="192.9"/>
    <n v="4.7618999999999998"/>
    <n v="9.65"/>
    <n v="5.0999999999999996"/>
  </r>
  <r>
    <x v="479"/>
    <x v="0"/>
    <s v="Naypyitaw"/>
    <x v="0"/>
    <s v="Female"/>
    <x v="3"/>
    <n v="77.430000000000007"/>
    <n v="7"/>
    <n v="27.1"/>
    <n v="569.11"/>
    <x v="42"/>
    <s v="20:45"/>
    <x v="1"/>
    <n v="542.01"/>
    <n v="4.7618999999999998"/>
    <n v="27.1"/>
    <n v="8"/>
  </r>
  <r>
    <x v="480"/>
    <x v="0"/>
    <s v="Naypyitaw"/>
    <x v="1"/>
    <s v="Female"/>
    <x v="4"/>
    <n v="81.319999999999993"/>
    <n v="9"/>
    <n v="36.590000000000003"/>
    <n v="768.47"/>
    <x v="7"/>
    <s v="18:25"/>
    <x v="0"/>
    <n v="731.88"/>
    <n v="4.7618999999999998"/>
    <n v="36.590000000000003"/>
    <n v="4.9000000000000004"/>
  </r>
  <r>
    <x v="481"/>
    <x v="1"/>
    <s v="Mandalay"/>
    <x v="1"/>
    <s v="Male"/>
    <x v="3"/>
    <n v="99.23"/>
    <n v="6"/>
    <n v="29.77"/>
    <n v="625.15"/>
    <x v="67"/>
    <s v="16:50"/>
    <x v="1"/>
    <n v="595.38"/>
    <n v="4.7618999999999998"/>
    <n v="29.77"/>
    <n v="9"/>
  </r>
  <r>
    <x v="482"/>
    <x v="0"/>
    <s v="Naypyitaw"/>
    <x v="0"/>
    <s v="Female"/>
    <x v="2"/>
    <n v="78.91"/>
    <n v="5"/>
    <n v="19.73"/>
    <n v="414.28"/>
    <x v="53"/>
    <s v="17:35"/>
    <x v="1"/>
    <n v="394.55"/>
    <n v="4.7618999999999998"/>
    <n v="19.73"/>
    <n v="4"/>
  </r>
  <r>
    <x v="483"/>
    <x v="1"/>
    <s v="Mandalay"/>
    <x v="0"/>
    <s v="Female"/>
    <x v="5"/>
    <n v="10.59"/>
    <n v="4"/>
    <n v="2.12"/>
    <n v="44.48"/>
    <x v="69"/>
    <s v="15:00"/>
    <x v="0"/>
    <n v="42.36"/>
    <n v="4.7618999999999998"/>
    <n v="2.12"/>
    <n v="8.9"/>
  </r>
  <r>
    <x v="484"/>
    <x v="0"/>
    <s v="Naypyitaw"/>
    <x v="0"/>
    <s v="Female"/>
    <x v="1"/>
    <n v="51.43"/>
    <n v="3"/>
    <n v="7.71"/>
    <n v="162"/>
    <x v="0"/>
    <s v="14:25"/>
    <x v="0"/>
    <n v="154.29"/>
    <n v="4.7618999999999998"/>
    <n v="7.71"/>
    <n v="5.5"/>
  </r>
  <r>
    <x v="485"/>
    <x v="1"/>
    <s v="Mandalay"/>
    <x v="0"/>
    <s v="Male"/>
    <x v="3"/>
    <n v="92.61"/>
    <n v="2"/>
    <n v="9.26"/>
    <n v="194.48"/>
    <x v="59"/>
    <s v="17:10"/>
    <x v="1"/>
    <n v="185.22"/>
    <n v="4.7618999999999998"/>
    <n v="9.26"/>
    <n v="9"/>
  </r>
  <r>
    <x v="486"/>
    <x v="0"/>
    <s v="Naypyitaw"/>
    <x v="0"/>
    <s v="Male"/>
    <x v="1"/>
    <n v="75.77"/>
    <n v="10"/>
    <n v="37.89"/>
    <n v="795.59"/>
    <x v="79"/>
    <s v="11:00"/>
    <x v="1"/>
    <n v="757.7"/>
    <n v="4.7618999999999998"/>
    <n v="37.89"/>
    <n v="6.1"/>
  </r>
  <r>
    <x v="487"/>
    <x v="1"/>
    <s v="Mandalay"/>
    <x v="1"/>
    <s v="Female"/>
    <x v="4"/>
    <n v="77.290000000000006"/>
    <n v="10"/>
    <n v="38.65"/>
    <n v="811.55"/>
    <x v="77"/>
    <s v="20:50"/>
    <x v="1"/>
    <n v="772.9"/>
    <n v="4.7618999999999998"/>
    <n v="38.65"/>
    <n v="4.3"/>
  </r>
  <r>
    <x v="488"/>
    <x v="2"/>
    <s v="Yangon"/>
    <x v="1"/>
    <s v="Female"/>
    <x v="5"/>
    <n v="55.22"/>
    <n v="4"/>
    <n v="11.04"/>
    <n v="231.92"/>
    <x v="82"/>
    <s v="10:50"/>
    <x v="0"/>
    <n v="220.88"/>
    <n v="4.7618999999999998"/>
    <n v="11.04"/>
    <n v="10"/>
  </r>
  <r>
    <x v="489"/>
    <x v="0"/>
    <s v="Naypyitaw"/>
    <x v="0"/>
    <s v="Female"/>
    <x v="2"/>
    <n v="36.08"/>
    <n v="7"/>
    <n v="12.63"/>
    <n v="265.19"/>
    <x v="8"/>
    <s v="12:25"/>
    <x v="2"/>
    <n v="252.56"/>
    <n v="4.7618999999999998"/>
    <n v="12.63"/>
    <n v="6.9"/>
  </r>
  <r>
    <x v="490"/>
    <x v="2"/>
    <s v="Yangon"/>
    <x v="1"/>
    <s v="Male"/>
    <x v="1"/>
    <n v="45.87"/>
    <n v="7"/>
    <n v="16.05"/>
    <n v="337.14"/>
    <x v="27"/>
    <s v="12:35"/>
    <x v="0"/>
    <n v="321.08999999999997"/>
    <n v="4.7618999999999998"/>
    <n v="16.05"/>
    <n v="5.2"/>
  </r>
  <r>
    <x v="491"/>
    <x v="0"/>
    <s v="Naypyitaw"/>
    <x v="0"/>
    <s v="Female"/>
    <x v="4"/>
    <n v="16.45"/>
    <n v="7"/>
    <n v="5.76"/>
    <n v="120.91"/>
    <x v="59"/>
    <s v="20:45"/>
    <x v="2"/>
    <n v="115.15"/>
    <n v="4.7618999999999998"/>
    <n v="5.76"/>
    <n v="4.7"/>
  </r>
  <r>
    <x v="492"/>
    <x v="1"/>
    <s v="Mandalay"/>
    <x v="1"/>
    <s v="Male"/>
    <x v="4"/>
    <n v="38.869999999999997"/>
    <n v="10"/>
    <n v="19.440000000000001"/>
    <n v="408.14"/>
    <x v="62"/>
    <s v="10:20"/>
    <x v="2"/>
    <n v="388.7"/>
    <n v="4.7618999999999998"/>
    <n v="19.440000000000001"/>
    <n v="9.9"/>
  </r>
  <r>
    <x v="493"/>
    <x v="1"/>
    <s v="Mandalay"/>
    <x v="0"/>
    <s v="Male"/>
    <x v="1"/>
    <n v="93.18"/>
    <n v="4"/>
    <n v="18.64"/>
    <n v="391.36"/>
    <x v="30"/>
    <s v="20:25"/>
    <x v="2"/>
    <n v="372.72"/>
    <n v="4.7618999999999998"/>
    <n v="18.64"/>
    <n v="8.5"/>
  </r>
  <r>
    <x v="494"/>
    <x v="2"/>
    <s v="Yangon"/>
    <x v="0"/>
    <s v="Female"/>
    <x v="4"/>
    <n v="95.4"/>
    <n v="3"/>
    <n v="14.31"/>
    <n v="300.51"/>
    <x v="47"/>
    <s v="10:25"/>
    <x v="0"/>
    <n v="286.2"/>
    <n v="4.7618999999999998"/>
    <n v="14.31"/>
    <n v="8.8000000000000007"/>
  </r>
  <r>
    <x v="495"/>
    <x v="1"/>
    <s v="Mandalay"/>
    <x v="1"/>
    <s v="Female"/>
    <x v="5"/>
    <n v="28.81"/>
    <n v="9"/>
    <n v="12.96"/>
    <n v="272.25"/>
    <x v="69"/>
    <s v="13:40"/>
    <x v="0"/>
    <n v="259.29000000000002"/>
    <n v="4.7618999999999998"/>
    <n v="12.96"/>
    <n v="8.5"/>
  </r>
  <r>
    <x v="496"/>
    <x v="1"/>
    <s v="Mandalay"/>
    <x v="0"/>
    <s v="Female"/>
    <x v="2"/>
    <n v="62.47"/>
    <n v="9"/>
    <n v="28.11"/>
    <n v="590.34"/>
    <x v="55"/>
    <s v="14:10"/>
    <x v="2"/>
    <n v="562.23"/>
    <n v="4.7618999999999998"/>
    <n v="28.11"/>
    <n v="5.7"/>
  </r>
  <r>
    <x v="497"/>
    <x v="0"/>
    <s v="Naypyitaw"/>
    <x v="1"/>
    <s v="Female"/>
    <x v="2"/>
    <n v="68.930000000000007"/>
    <n v="1"/>
    <n v="3.45"/>
    <n v="72.38"/>
    <x v="36"/>
    <s v="16:50"/>
    <x v="1"/>
    <n v="68.930000000000007"/>
    <n v="4.7618999999999998"/>
    <n v="3.45"/>
    <n v="8"/>
  </r>
  <r>
    <x v="498"/>
    <x v="1"/>
    <s v="Mandalay"/>
    <x v="0"/>
    <s v="Female"/>
    <x v="5"/>
    <n v="88.07"/>
    <n v="7"/>
    <n v="30.82"/>
    <n v="647.30999999999995"/>
    <x v="57"/>
    <s v="16:40"/>
    <x v="0"/>
    <n v="616.49"/>
    <n v="4.7618999999999998"/>
    <n v="30.82"/>
    <n v="4.5999999999999996"/>
  </r>
  <r>
    <x v="499"/>
    <x v="1"/>
    <s v="Mandalay"/>
    <x v="0"/>
    <s v="Female"/>
    <x v="4"/>
    <n v="55.06"/>
    <n v="8"/>
    <n v="22.02"/>
    <n v="462.5"/>
    <x v="26"/>
    <s v="10:00"/>
    <x v="2"/>
    <n v="440.48"/>
    <n v="4.7618999999999998"/>
    <n v="22.02"/>
    <n v="9.5"/>
  </r>
  <r>
    <x v="500"/>
    <x v="1"/>
    <s v="Mandalay"/>
    <x v="1"/>
    <s v="Male"/>
    <x v="0"/>
    <n v="24.13"/>
    <n v="6"/>
    <n v="7.24"/>
    <n v="152.02000000000001"/>
    <x v="65"/>
    <s v="15:25"/>
    <x v="0"/>
    <n v="144.78"/>
    <n v="4.7618999999999998"/>
    <n v="7.24"/>
    <n v="5.8"/>
  </r>
  <r>
    <x v="501"/>
    <x v="1"/>
    <s v="Mandalay"/>
    <x v="0"/>
    <s v="Male"/>
    <x v="2"/>
    <n v="90.14"/>
    <n v="1"/>
    <n v="4.51"/>
    <n v="94.65"/>
    <x v="26"/>
    <s v="14:15"/>
    <x v="2"/>
    <n v="90.14"/>
    <n v="4.7618999999999998"/>
    <n v="4.51"/>
    <n v="6.1"/>
  </r>
  <r>
    <x v="502"/>
    <x v="0"/>
    <s v="Naypyitaw"/>
    <x v="0"/>
    <s v="Female"/>
    <x v="0"/>
    <n v="44.4"/>
    <n v="10"/>
    <n v="22.2"/>
    <n v="466.2"/>
    <x v="58"/>
    <s v="20:15"/>
    <x v="1"/>
    <n v="444"/>
    <n v="4.7618999999999998"/>
    <n v="22.2"/>
    <n v="5.4"/>
  </r>
  <r>
    <x v="503"/>
    <x v="1"/>
    <s v="Mandalay"/>
    <x v="1"/>
    <s v="Male"/>
    <x v="2"/>
    <n v="58.8"/>
    <n v="4"/>
    <n v="11.76"/>
    <n v="246.96"/>
    <x v="62"/>
    <s v="12:45"/>
    <x v="0"/>
    <n v="235.2"/>
    <n v="4.7618999999999998"/>
    <n v="11.76"/>
    <n v="8.1"/>
  </r>
  <r>
    <x v="504"/>
    <x v="2"/>
    <s v="Yangon"/>
    <x v="1"/>
    <s v="Female"/>
    <x v="2"/>
    <n v="99.61"/>
    <n v="3"/>
    <n v="14.94"/>
    <n v="313.77"/>
    <x v="62"/>
    <s v="19:10"/>
    <x v="1"/>
    <n v="298.83"/>
    <n v="4.7618999999999998"/>
    <n v="14.94"/>
    <n v="4.4000000000000004"/>
  </r>
  <r>
    <x v="505"/>
    <x v="0"/>
    <s v="Naypyitaw"/>
    <x v="0"/>
    <s v="Female"/>
    <x v="5"/>
    <n v="85.56"/>
    <n v="3"/>
    <n v="12.83"/>
    <n v="269.51"/>
    <x v="49"/>
    <s v="15:30"/>
    <x v="1"/>
    <n v="256.68"/>
    <n v="4.7618999999999998"/>
    <n v="12.83"/>
    <n v="5.8"/>
  </r>
  <r>
    <x v="506"/>
    <x v="0"/>
    <s v="Naypyitaw"/>
    <x v="1"/>
    <s v="Female"/>
    <x v="4"/>
    <n v="19.61"/>
    <n v="3"/>
    <n v="2.94"/>
    <n v="61.77"/>
    <x v="49"/>
    <s v="19:45"/>
    <x v="1"/>
    <n v="58.83"/>
    <n v="4.7618999999999998"/>
    <n v="2.94"/>
    <n v="7.6"/>
  </r>
  <r>
    <x v="507"/>
    <x v="2"/>
    <s v="Yangon"/>
    <x v="0"/>
    <s v="Female"/>
    <x v="0"/>
    <n v="12.35"/>
    <n v="2"/>
    <n v="1.24"/>
    <n v="25.94"/>
    <x v="81"/>
    <s v="17:10"/>
    <x v="0"/>
    <n v="24.7"/>
    <n v="4.7618999999999998"/>
    <n v="1.24"/>
    <n v="9.1"/>
  </r>
  <r>
    <x v="508"/>
    <x v="0"/>
    <s v="Naypyitaw"/>
    <x v="1"/>
    <s v="Female"/>
    <x v="2"/>
    <n v="54.23"/>
    <n v="3"/>
    <n v="8.1300000000000008"/>
    <n v="170.82"/>
    <x v="2"/>
    <s v="13:15"/>
    <x v="2"/>
    <n v="162.69"/>
    <n v="4.7618999999999998"/>
    <n v="8.1300000000000008"/>
    <n v="6.5"/>
  </r>
  <r>
    <x v="509"/>
    <x v="1"/>
    <s v="Mandalay"/>
    <x v="1"/>
    <s v="Female"/>
    <x v="0"/>
    <n v="70.42"/>
    <n v="4"/>
    <n v="14.08"/>
    <n v="295.76"/>
    <x v="83"/>
    <s v="11:10"/>
    <x v="1"/>
    <n v="281.68"/>
    <n v="4.7618999999999998"/>
    <n v="14.08"/>
    <n v="9.1999999999999993"/>
  </r>
  <r>
    <x v="510"/>
    <x v="0"/>
    <s v="Naypyitaw"/>
    <x v="1"/>
    <s v="Male"/>
    <x v="4"/>
    <n v="48.48"/>
    <n v="1"/>
    <n v="2.42"/>
    <n v="50.9"/>
    <x v="3"/>
    <s v="16:55"/>
    <x v="1"/>
    <n v="48.48"/>
    <n v="4.7618999999999998"/>
    <n v="2.42"/>
    <n v="6.4"/>
  </r>
  <r>
    <x v="511"/>
    <x v="0"/>
    <s v="Naypyitaw"/>
    <x v="0"/>
    <s v="Female"/>
    <x v="2"/>
    <n v="51.12"/>
    <n v="1"/>
    <n v="2.56"/>
    <n v="53.68"/>
    <x v="40"/>
    <s v="18:40"/>
    <x v="1"/>
    <n v="51.12"/>
    <n v="4.7618999999999998"/>
    <n v="2.56"/>
    <n v="9.9"/>
  </r>
  <r>
    <x v="512"/>
    <x v="0"/>
    <s v="Naypyitaw"/>
    <x v="1"/>
    <s v="Female"/>
    <x v="4"/>
    <n v="36.21"/>
    <n v="7"/>
    <n v="12.67"/>
    <n v="266.14"/>
    <x v="24"/>
    <s v="14:35"/>
    <x v="2"/>
    <n v="253.47"/>
    <n v="4.7618999999999998"/>
    <n v="12.67"/>
    <n v="6.5"/>
  </r>
  <r>
    <x v="513"/>
    <x v="2"/>
    <s v="Yangon"/>
    <x v="0"/>
    <s v="Male"/>
    <x v="0"/>
    <n v="50.65"/>
    <n v="9"/>
    <n v="22.79"/>
    <n v="478.64"/>
    <x v="46"/>
    <s v="12:45"/>
    <x v="0"/>
    <n v="455.85"/>
    <n v="4.7618999999999998"/>
    <n v="22.79"/>
    <n v="7.3"/>
  </r>
  <r>
    <x v="514"/>
    <x v="1"/>
    <s v="Mandalay"/>
    <x v="1"/>
    <s v="Male"/>
    <x v="1"/>
    <n v="26.1"/>
    <n v="10"/>
    <n v="13.05"/>
    <n v="274.05"/>
    <x v="30"/>
    <s v="17:05"/>
    <x v="1"/>
    <n v="261"/>
    <n v="4.7618999999999998"/>
    <n v="13.05"/>
    <n v="5.9"/>
  </r>
  <r>
    <x v="515"/>
    <x v="0"/>
    <s v="Naypyitaw"/>
    <x v="0"/>
    <s v="Female"/>
    <x v="1"/>
    <n v="20.27"/>
    <n v="8"/>
    <n v="8.11"/>
    <n v="170.27"/>
    <x v="5"/>
    <s v="15:05"/>
    <x v="0"/>
    <n v="162.16"/>
    <n v="4.7618999999999998"/>
    <n v="8.11"/>
    <n v="8.1999999999999993"/>
  </r>
  <r>
    <x v="516"/>
    <x v="0"/>
    <s v="Naypyitaw"/>
    <x v="0"/>
    <s v="Male"/>
    <x v="3"/>
    <n v="44.25"/>
    <n v="3"/>
    <n v="6.64"/>
    <n v="139.38999999999999"/>
    <x v="51"/>
    <s v="19:50"/>
    <x v="2"/>
    <n v="132.75"/>
    <n v="4.7618999999999998"/>
    <n v="6.64"/>
    <n v="5"/>
  </r>
  <r>
    <x v="517"/>
    <x v="2"/>
    <s v="Yangon"/>
    <x v="0"/>
    <s v="Male"/>
    <x v="5"/>
    <n v="37.86"/>
    <n v="8"/>
    <n v="15.14"/>
    <n v="318.02"/>
    <x v="47"/>
    <s v="20:10"/>
    <x v="2"/>
    <n v="302.88"/>
    <n v="4.7618999999999998"/>
    <n v="15.14"/>
    <n v="9.4"/>
  </r>
  <r>
    <x v="518"/>
    <x v="2"/>
    <s v="Yangon"/>
    <x v="1"/>
    <s v="Female"/>
    <x v="2"/>
    <n v="54.79"/>
    <n v="8"/>
    <n v="21.92"/>
    <n v="460.24"/>
    <x v="63"/>
    <s v="10:45"/>
    <x v="1"/>
    <n v="438.32"/>
    <n v="4.7618999999999998"/>
    <n v="21.92"/>
    <n v="5.4"/>
  </r>
  <r>
    <x v="519"/>
    <x v="0"/>
    <s v="Naypyitaw"/>
    <x v="1"/>
    <s v="Male"/>
    <x v="2"/>
    <n v="49.77"/>
    <n v="10"/>
    <n v="24.89"/>
    <n v="522.59"/>
    <x v="10"/>
    <s v="10:15"/>
    <x v="0"/>
    <n v="497.7"/>
    <n v="4.7618999999999998"/>
    <n v="24.89"/>
    <n v="5.7"/>
  </r>
  <r>
    <x v="520"/>
    <x v="0"/>
    <s v="Naypyitaw"/>
    <x v="0"/>
    <s v="Female"/>
    <x v="4"/>
    <n v="23.34"/>
    <n v="6"/>
    <n v="7"/>
    <n v="147.04"/>
    <x v="52"/>
    <s v="12:00"/>
    <x v="0"/>
    <n v="140.04"/>
    <n v="4.7618999999999998"/>
    <n v="7"/>
    <n v="7.5"/>
  </r>
  <r>
    <x v="521"/>
    <x v="1"/>
    <s v="Mandalay"/>
    <x v="1"/>
    <s v="Female"/>
    <x v="1"/>
    <n v="19.8"/>
    <n v="3"/>
    <n v="2.97"/>
    <n v="62.37"/>
    <x v="2"/>
    <s v="20:20"/>
    <x v="0"/>
    <n v="59.4"/>
    <n v="4.7618999999999998"/>
    <n v="2.97"/>
    <n v="8"/>
  </r>
  <r>
    <x v="522"/>
    <x v="0"/>
    <s v="Naypyitaw"/>
    <x v="0"/>
    <s v="Male"/>
    <x v="0"/>
    <n v="62.11"/>
    <n v="1"/>
    <n v="3.11"/>
    <n v="65.22"/>
    <x v="19"/>
    <s v="14:25"/>
    <x v="1"/>
    <n v="62.11"/>
    <n v="4.7618999999999998"/>
    <n v="3.11"/>
    <n v="9.4"/>
  </r>
  <r>
    <x v="523"/>
    <x v="2"/>
    <s v="Yangon"/>
    <x v="1"/>
    <s v="Female"/>
    <x v="5"/>
    <n v="52.37"/>
    <n v="2"/>
    <n v="5.24"/>
    <n v="109.98"/>
    <x v="81"/>
    <s v="14:25"/>
    <x v="0"/>
    <n v="104.74"/>
    <n v="4.7618999999999998"/>
    <n v="5.24"/>
    <n v="6.5"/>
  </r>
  <r>
    <x v="524"/>
    <x v="0"/>
    <s v="Naypyitaw"/>
    <x v="0"/>
    <s v="Female"/>
    <x v="1"/>
    <n v="61.42"/>
    <n v="9"/>
    <n v="27.64"/>
    <n v="580.41999999999996"/>
    <x v="19"/>
    <s v="17:55"/>
    <x v="0"/>
    <n v="552.78"/>
    <n v="4.7618999999999998"/>
    <n v="27.64"/>
    <n v="7.6"/>
  </r>
  <r>
    <x v="525"/>
    <x v="0"/>
    <s v="Naypyitaw"/>
    <x v="1"/>
    <s v="Male"/>
    <x v="3"/>
    <n v="86.3"/>
    <n v="5"/>
    <n v="21.58"/>
    <n v="453.08"/>
    <x v="70"/>
    <s v="19:45"/>
    <x v="1"/>
    <n v="431.5"/>
    <n v="4.7618999999999998"/>
    <n v="21.58"/>
    <n v="9.6"/>
  </r>
  <r>
    <x v="526"/>
    <x v="0"/>
    <s v="Naypyitaw"/>
    <x v="1"/>
    <s v="Male"/>
    <x v="2"/>
    <n v="82.72"/>
    <n v="10"/>
    <n v="41.36"/>
    <n v="868.56"/>
    <x v="57"/>
    <s v="14:15"/>
    <x v="2"/>
    <n v="827.2"/>
    <n v="4.7618999999999998"/>
    <n v="41.36"/>
    <n v="4.7"/>
  </r>
  <r>
    <x v="527"/>
    <x v="0"/>
    <s v="Naypyitaw"/>
    <x v="0"/>
    <s v="Female"/>
    <x v="3"/>
    <n v="99.91"/>
    <n v="7"/>
    <n v="34.97"/>
    <n v="734.34"/>
    <x v="55"/>
    <s v="15:25"/>
    <x v="0"/>
    <n v="699.37"/>
    <n v="4.7618999999999998"/>
    <n v="34.97"/>
    <n v="8.8000000000000007"/>
  </r>
  <r>
    <x v="528"/>
    <x v="2"/>
    <s v="Yangon"/>
    <x v="0"/>
    <s v="Male"/>
    <x v="5"/>
    <n v="81.12"/>
    <n v="5"/>
    <n v="20.28"/>
    <n v="425.88"/>
    <x v="24"/>
    <s v="18:40"/>
    <x v="1"/>
    <n v="405.6"/>
    <n v="4.7618999999999998"/>
    <n v="20.28"/>
    <n v="8.6"/>
  </r>
  <r>
    <x v="529"/>
    <x v="0"/>
    <s v="Naypyitaw"/>
    <x v="1"/>
    <s v="Male"/>
    <x v="2"/>
    <n v="75.2"/>
    <n v="10"/>
    <n v="37.6"/>
    <n v="789.6"/>
    <x v="49"/>
    <s v="12:15"/>
    <x v="1"/>
    <n v="752"/>
    <n v="4.7618999999999998"/>
    <n v="37.6"/>
    <n v="9"/>
  </r>
  <r>
    <x v="530"/>
    <x v="1"/>
    <s v="Mandalay"/>
    <x v="1"/>
    <s v="Female"/>
    <x v="0"/>
    <n v="22.22"/>
    <n v="3"/>
    <n v="3.33"/>
    <n v="69.989999999999995"/>
    <x v="58"/>
    <s v="17:40"/>
    <x v="1"/>
    <n v="66.66"/>
    <n v="4.7618999999999998"/>
    <n v="3.33"/>
    <n v="6.8"/>
  </r>
  <r>
    <x v="531"/>
    <x v="1"/>
    <s v="Mandalay"/>
    <x v="0"/>
    <s v="Male"/>
    <x v="3"/>
    <n v="75.25"/>
    <n v="6"/>
    <n v="22.58"/>
    <n v="474.08"/>
    <x v="26"/>
    <s v="18:00"/>
    <x v="2"/>
    <n v="451.5"/>
    <n v="4.7618999999999998"/>
    <n v="22.58"/>
    <n v="7.5"/>
  </r>
  <r>
    <x v="532"/>
    <x v="1"/>
    <s v="Mandalay"/>
    <x v="0"/>
    <s v="Female"/>
    <x v="5"/>
    <n v="85.67"/>
    <n v="6"/>
    <n v="25.7"/>
    <n v="539.72"/>
    <x v="79"/>
    <s v="20:40"/>
    <x v="2"/>
    <n v="514.02"/>
    <n v="4.7618999999999998"/>
    <n v="25.7"/>
    <n v="7.4"/>
  </r>
  <r>
    <x v="533"/>
    <x v="2"/>
    <s v="Yangon"/>
    <x v="0"/>
    <s v="Male"/>
    <x v="0"/>
    <n v="87.2"/>
    <n v="1"/>
    <n v="4.3600000000000003"/>
    <n v="91.56"/>
    <x v="48"/>
    <s v="16:05"/>
    <x v="1"/>
    <n v="87.2"/>
    <n v="4.7618999999999998"/>
    <n v="4.3600000000000003"/>
    <n v="9.3000000000000007"/>
  </r>
  <r>
    <x v="534"/>
    <x v="1"/>
    <s v="Mandalay"/>
    <x v="1"/>
    <s v="Female"/>
    <x v="3"/>
    <n v="37.21"/>
    <n v="2"/>
    <n v="3.72"/>
    <n v="78.14"/>
    <x v="67"/>
    <s v="10:15"/>
    <x v="2"/>
    <n v="74.42"/>
    <n v="4.7618999999999998"/>
    <n v="3.72"/>
    <n v="6.7"/>
  </r>
  <r>
    <x v="535"/>
    <x v="1"/>
    <s v="Mandalay"/>
    <x v="0"/>
    <s v="Female"/>
    <x v="5"/>
    <n v="93.13"/>
    <n v="9"/>
    <n v="41.91"/>
    <n v="880.08"/>
    <x v="12"/>
    <s v="15:10"/>
    <x v="2"/>
    <n v="838.17"/>
    <n v="4.7618999999999998"/>
    <n v="41.91"/>
    <n v="8.9"/>
  </r>
  <r>
    <x v="536"/>
    <x v="0"/>
    <s v="Naypyitaw"/>
    <x v="0"/>
    <s v="Female"/>
    <x v="0"/>
    <n v="13.29"/>
    <n v="7"/>
    <n v="4.6500000000000004"/>
    <n v="97.68"/>
    <x v="72"/>
    <s v="11:00"/>
    <x v="1"/>
    <n v="93.03"/>
    <n v="4.7618999999999998"/>
    <n v="4.6500000000000004"/>
    <n v="9.6"/>
  </r>
  <r>
    <x v="537"/>
    <x v="0"/>
    <s v="Naypyitaw"/>
    <x v="0"/>
    <s v="Male"/>
    <x v="2"/>
    <n v="90.03"/>
    <n v="2"/>
    <n v="9"/>
    <n v="189.06"/>
    <x v="72"/>
    <s v="20:55"/>
    <x v="1"/>
    <n v="180.06"/>
    <n v="4.7618999999999998"/>
    <n v="9"/>
    <n v="4.0999999999999996"/>
  </r>
  <r>
    <x v="538"/>
    <x v="1"/>
    <s v="Mandalay"/>
    <x v="0"/>
    <s v="Male"/>
    <x v="4"/>
    <n v="27.33"/>
    <n v="5"/>
    <n v="6.83"/>
    <n v="143.47999999999999"/>
    <x v="71"/>
    <s v="15:35"/>
    <x v="0"/>
    <n v="136.65"/>
    <n v="4.7618999999999998"/>
    <n v="6.83"/>
    <n v="4.7"/>
  </r>
  <r>
    <x v="539"/>
    <x v="2"/>
    <s v="Yangon"/>
    <x v="1"/>
    <s v="Female"/>
    <x v="1"/>
    <n v="96.25"/>
    <n v="9"/>
    <n v="43.31"/>
    <n v="909.56"/>
    <x v="9"/>
    <s v="11:15"/>
    <x v="0"/>
    <n v="866.25"/>
    <n v="4.7618999999999998"/>
    <n v="43.31"/>
    <n v="6.1"/>
  </r>
  <r>
    <x v="540"/>
    <x v="1"/>
    <s v="Mandalay"/>
    <x v="0"/>
    <s v="Male"/>
    <x v="3"/>
    <n v="32.03"/>
    <n v="2"/>
    <n v="3.2"/>
    <n v="67.260000000000005"/>
    <x v="12"/>
    <s v="19:25"/>
    <x v="0"/>
    <n v="64.06"/>
    <n v="4.7618999999999998"/>
    <n v="3.2"/>
    <n v="6.7"/>
  </r>
  <r>
    <x v="541"/>
    <x v="2"/>
    <s v="Yangon"/>
    <x v="1"/>
    <s v="Female"/>
    <x v="1"/>
    <n v="44.52"/>
    <n v="2"/>
    <n v="4.45"/>
    <n v="93.49"/>
    <x v="84"/>
    <s v="16:10"/>
    <x v="0"/>
    <n v="89.04"/>
    <n v="4.7618999999999998"/>
    <n v="4.45"/>
    <n v="7.6"/>
  </r>
  <r>
    <x v="542"/>
    <x v="0"/>
    <s v="Naypyitaw"/>
    <x v="1"/>
    <s v="Male"/>
    <x v="5"/>
    <n v="39.909999999999997"/>
    <n v="4"/>
    <n v="7.98"/>
    <n v="167.62"/>
    <x v="23"/>
    <s v="18:05"/>
    <x v="1"/>
    <n v="159.63999999999999"/>
    <n v="4.7618999999999998"/>
    <n v="7.98"/>
    <n v="7.4"/>
  </r>
  <r>
    <x v="543"/>
    <x v="0"/>
    <s v="Naypyitaw"/>
    <x v="1"/>
    <s v="Female"/>
    <x v="2"/>
    <n v="37.94"/>
    <n v="8"/>
    <n v="15.18"/>
    <n v="318.7"/>
    <x v="50"/>
    <s v="13:15"/>
    <x v="2"/>
    <n v="303.52"/>
    <n v="4.7618999999999998"/>
    <n v="15.18"/>
    <n v="9.1999999999999993"/>
  </r>
  <r>
    <x v="544"/>
    <x v="1"/>
    <s v="Mandalay"/>
    <x v="1"/>
    <s v="Male"/>
    <x v="4"/>
    <n v="72.97"/>
    <n v="6"/>
    <n v="21.89"/>
    <n v="459.71"/>
    <x v="59"/>
    <s v="17:35"/>
    <x v="2"/>
    <n v="437.82"/>
    <n v="4.7618999999999998"/>
    <n v="21.89"/>
    <n v="4.4000000000000004"/>
  </r>
  <r>
    <x v="545"/>
    <x v="1"/>
    <s v="Mandalay"/>
    <x v="1"/>
    <s v="Male"/>
    <x v="4"/>
    <n v="35.4"/>
    <n v="6"/>
    <n v="10.62"/>
    <n v="223.02"/>
    <x v="3"/>
    <s v="19:10"/>
    <x v="0"/>
    <n v="212.4"/>
    <n v="4.7618999999999998"/>
    <n v="10.62"/>
    <n v="4.5999999999999996"/>
  </r>
  <r>
    <x v="546"/>
    <x v="0"/>
    <s v="Naypyitaw"/>
    <x v="0"/>
    <s v="Male"/>
    <x v="3"/>
    <n v="68.45"/>
    <n v="5"/>
    <n v="17.11"/>
    <n v="359.36"/>
    <x v="71"/>
    <s v="17:30"/>
    <x v="0"/>
    <n v="342.25"/>
    <n v="4.7618999999999998"/>
    <n v="17.11"/>
    <n v="6.5"/>
  </r>
  <r>
    <x v="547"/>
    <x v="2"/>
    <s v="Yangon"/>
    <x v="0"/>
    <s v="Male"/>
    <x v="2"/>
    <n v="15.95"/>
    <n v="4"/>
    <n v="3.19"/>
    <n v="66.989999999999995"/>
    <x v="81"/>
    <s v="19:30"/>
    <x v="1"/>
    <n v="63.8"/>
    <n v="4.7618999999999998"/>
    <n v="3.19"/>
    <n v="7.4"/>
  </r>
  <r>
    <x v="548"/>
    <x v="0"/>
    <s v="Naypyitaw"/>
    <x v="0"/>
    <s v="Female"/>
    <x v="0"/>
    <n v="70.260000000000005"/>
    <n v="10"/>
    <n v="35.130000000000003"/>
    <n v="737.73"/>
    <x v="44"/>
    <s v="11:45"/>
    <x v="0"/>
    <n v="702.6"/>
    <n v="4.7618999999999998"/>
    <n v="35.130000000000003"/>
    <n v="6.8"/>
  </r>
  <r>
    <x v="549"/>
    <x v="2"/>
    <s v="Yangon"/>
    <x v="1"/>
    <s v="Female"/>
    <x v="5"/>
    <n v="96.03"/>
    <n v="2"/>
    <n v="9.6"/>
    <n v="201.66"/>
    <x v="10"/>
    <s v="11:50"/>
    <x v="0"/>
    <n v="192.06"/>
    <n v="4.7618999999999998"/>
    <n v="9.6"/>
    <n v="8.6"/>
  </r>
  <r>
    <x v="550"/>
    <x v="1"/>
    <s v="Mandalay"/>
    <x v="1"/>
    <s v="Female"/>
    <x v="1"/>
    <n v="29.59"/>
    <n v="3"/>
    <n v="4.4400000000000004"/>
    <n v="93.21"/>
    <x v="21"/>
    <s v="20:00"/>
    <x v="2"/>
    <n v="88.77"/>
    <n v="4.7618999999999998"/>
    <n v="4.4400000000000004"/>
    <n v="8"/>
  </r>
  <r>
    <x v="551"/>
    <x v="0"/>
    <s v="Naypyitaw"/>
    <x v="1"/>
    <s v="Male"/>
    <x v="3"/>
    <n v="62.01"/>
    <n v="4"/>
    <n v="12.4"/>
    <n v="260.44"/>
    <x v="83"/>
    <s v="20:25"/>
    <x v="1"/>
    <n v="248.04"/>
    <n v="4.7618999999999998"/>
    <n v="12.4"/>
    <n v="7.4"/>
  </r>
  <r>
    <x v="552"/>
    <x v="1"/>
    <s v="Mandalay"/>
    <x v="1"/>
    <s v="Male"/>
    <x v="1"/>
    <n v="62.45"/>
    <n v="10"/>
    <n v="31.23"/>
    <n v="655.73"/>
    <x v="9"/>
    <s v="16:10"/>
    <x v="1"/>
    <n v="624.5"/>
    <n v="4.7618999999999998"/>
    <n v="31.23"/>
    <n v="4.4000000000000004"/>
  </r>
  <r>
    <x v="553"/>
    <x v="2"/>
    <s v="Yangon"/>
    <x v="0"/>
    <s v="Male"/>
    <x v="1"/>
    <n v="87.51"/>
    <n v="1"/>
    <n v="4.38"/>
    <n v="91.89"/>
    <x v="35"/>
    <s v="16:55"/>
    <x v="0"/>
    <n v="87.51"/>
    <n v="4.7618999999999998"/>
    <n v="4.38"/>
    <n v="6.4"/>
  </r>
  <r>
    <x v="554"/>
    <x v="0"/>
    <s v="Naypyitaw"/>
    <x v="1"/>
    <s v="Male"/>
    <x v="2"/>
    <n v="49.17"/>
    <n v="4"/>
    <n v="9.83"/>
    <n v="206.51"/>
    <x v="13"/>
    <s v="12:35"/>
    <x v="2"/>
    <n v="196.68"/>
    <n v="4.7618999999999998"/>
    <n v="9.83"/>
    <n v="5.0999999999999996"/>
  </r>
  <r>
    <x v="555"/>
    <x v="1"/>
    <s v="Mandalay"/>
    <x v="1"/>
    <s v="Female"/>
    <x v="5"/>
    <n v="99.77"/>
    <n v="3"/>
    <n v="14.97"/>
    <n v="314.27999999999997"/>
    <x v="0"/>
    <s v="10:05"/>
    <x v="0"/>
    <n v="299.31"/>
    <n v="4.7618999999999998"/>
    <n v="14.97"/>
    <n v="4.0999999999999996"/>
  </r>
  <r>
    <x v="556"/>
    <x v="1"/>
    <s v="Mandalay"/>
    <x v="1"/>
    <s v="Female"/>
    <x v="1"/>
    <n v="22.35"/>
    <n v="7"/>
    <n v="7.82"/>
    <n v="164.27"/>
    <x v="45"/>
    <s v="19:30"/>
    <x v="0"/>
    <n v="156.44999999999999"/>
    <n v="4.7618999999999998"/>
    <n v="7.82"/>
    <n v="5.0999999999999996"/>
  </r>
  <r>
    <x v="557"/>
    <x v="1"/>
    <s v="Mandalay"/>
    <x v="1"/>
    <s v="Male"/>
    <x v="5"/>
    <n v="30.32"/>
    <n v="7"/>
    <n v="10.61"/>
    <n v="222.85"/>
    <x v="3"/>
    <s v="10:45"/>
    <x v="1"/>
    <n v="212.24"/>
    <n v="4.7618999999999998"/>
    <n v="10.61"/>
    <n v="9.1"/>
  </r>
  <r>
    <x v="558"/>
    <x v="0"/>
    <s v="Naypyitaw"/>
    <x v="1"/>
    <s v="Male"/>
    <x v="3"/>
    <n v="61.87"/>
    <n v="1"/>
    <n v="3.09"/>
    <n v="64.959999999999994"/>
    <x v="52"/>
    <s v="19:35"/>
    <x v="0"/>
    <n v="61.87"/>
    <n v="4.7618999999999998"/>
    <n v="3.09"/>
    <n v="6.2"/>
  </r>
  <r>
    <x v="559"/>
    <x v="1"/>
    <s v="Mandalay"/>
    <x v="0"/>
    <s v="Female"/>
    <x v="0"/>
    <n v="75.819999999999993"/>
    <n v="5"/>
    <n v="18.96"/>
    <n v="398.06"/>
    <x v="6"/>
    <s v="18:05"/>
    <x v="0"/>
    <n v="379.1"/>
    <n v="4.7618999999999998"/>
    <n v="18.96"/>
    <n v="9.3000000000000007"/>
  </r>
  <r>
    <x v="560"/>
    <x v="2"/>
    <s v="Yangon"/>
    <x v="1"/>
    <s v="Female"/>
    <x v="0"/>
    <n v="67.03"/>
    <n v="10"/>
    <n v="33.520000000000003"/>
    <n v="703.82"/>
    <x v="12"/>
    <s v="19:00"/>
    <x v="1"/>
    <n v="670.3"/>
    <n v="4.7618999999999998"/>
    <n v="33.520000000000003"/>
    <n v="7.2"/>
  </r>
  <r>
    <x v="561"/>
    <x v="1"/>
    <s v="Mandalay"/>
    <x v="1"/>
    <s v="Male"/>
    <x v="3"/>
    <n v="76.040000000000006"/>
    <n v="7"/>
    <n v="26.61"/>
    <n v="558.89"/>
    <x v="28"/>
    <s v="14:20"/>
    <x v="2"/>
    <n v="532.28"/>
    <n v="4.7618999999999998"/>
    <n v="26.61"/>
    <n v="4.2"/>
  </r>
  <r>
    <x v="562"/>
    <x v="0"/>
    <s v="Naypyitaw"/>
    <x v="1"/>
    <s v="Male"/>
    <x v="1"/>
    <n v="66.64"/>
    <n v="10"/>
    <n v="33.32"/>
    <n v="699.72"/>
    <x v="38"/>
    <s v="19:00"/>
    <x v="0"/>
    <n v="666.4"/>
    <n v="4.7618999999999998"/>
    <n v="33.32"/>
    <n v="9.9"/>
  </r>
  <r>
    <x v="563"/>
    <x v="0"/>
    <s v="Naypyitaw"/>
    <x v="0"/>
    <s v="Male"/>
    <x v="2"/>
    <n v="17.43"/>
    <n v="9"/>
    <n v="7.84"/>
    <n v="164.71"/>
    <x v="15"/>
    <s v="14:20"/>
    <x v="2"/>
    <n v="156.87"/>
    <n v="4.7618999999999998"/>
    <n v="7.84"/>
    <n v="7.7"/>
  </r>
  <r>
    <x v="564"/>
    <x v="1"/>
    <s v="Mandalay"/>
    <x v="0"/>
    <s v="Female"/>
    <x v="3"/>
    <n v="25.72"/>
    <n v="10"/>
    <n v="12.86"/>
    <n v="270.06"/>
    <x v="82"/>
    <s v="20:35"/>
    <x v="1"/>
    <n v="257.2"/>
    <n v="4.7618999999999998"/>
    <n v="12.86"/>
    <n v="8.8000000000000007"/>
  </r>
  <r>
    <x v="565"/>
    <x v="0"/>
    <s v="Naypyitaw"/>
    <x v="0"/>
    <s v="Male"/>
    <x v="4"/>
    <n v="81.94"/>
    <n v="1"/>
    <n v="4.0999999999999996"/>
    <n v="86.04"/>
    <x v="54"/>
    <s v="11:10"/>
    <x v="0"/>
    <n v="81.94"/>
    <n v="4.7618999999999998"/>
    <n v="4.0999999999999996"/>
    <n v="9.6"/>
  </r>
  <r>
    <x v="566"/>
    <x v="1"/>
    <s v="Mandalay"/>
    <x v="1"/>
    <s v="Male"/>
    <x v="4"/>
    <n v="69.459999999999994"/>
    <n v="3"/>
    <n v="10.42"/>
    <n v="218.8"/>
    <x v="83"/>
    <s v="19:55"/>
    <x v="1"/>
    <n v="208.38"/>
    <n v="4.7618999999999998"/>
    <n v="10.42"/>
    <n v="4.3"/>
  </r>
  <r>
    <x v="567"/>
    <x v="2"/>
    <s v="Yangon"/>
    <x v="0"/>
    <s v="Female"/>
    <x v="2"/>
    <n v="45.89"/>
    <n v="5"/>
    <n v="11.47"/>
    <n v="240.92"/>
    <x v="50"/>
    <s v="18:15"/>
    <x v="1"/>
    <n v="229.45"/>
    <n v="4.7618999999999998"/>
    <n v="11.47"/>
    <n v="8.1"/>
  </r>
  <r>
    <x v="568"/>
    <x v="1"/>
    <s v="Mandalay"/>
    <x v="1"/>
    <s v="Female"/>
    <x v="3"/>
    <n v="88.32"/>
    <n v="1"/>
    <n v="4.42"/>
    <n v="92.74"/>
    <x v="47"/>
    <s v="17:30"/>
    <x v="0"/>
    <n v="88.32"/>
    <n v="4.7618999999999998"/>
    <n v="4.42"/>
    <n v="5.9"/>
  </r>
  <r>
    <x v="569"/>
    <x v="0"/>
    <s v="Naypyitaw"/>
    <x v="0"/>
    <s v="Female"/>
    <x v="3"/>
    <n v="67.37"/>
    <n v="7"/>
    <n v="23.58"/>
    <n v="495.17"/>
    <x v="43"/>
    <s v="20:20"/>
    <x v="1"/>
    <n v="471.59"/>
    <n v="4.7618999999999998"/>
    <n v="23.58"/>
    <n v="5.6"/>
  </r>
  <r>
    <x v="570"/>
    <x v="2"/>
    <s v="Yangon"/>
    <x v="1"/>
    <s v="Male"/>
    <x v="2"/>
    <n v="79.58"/>
    <n v="4"/>
    <n v="15.92"/>
    <n v="334.24"/>
    <x v="61"/>
    <s v="19:15"/>
    <x v="0"/>
    <n v="318.32"/>
    <n v="4.7618999999999998"/>
    <n v="15.92"/>
    <n v="6"/>
  </r>
  <r>
    <x v="571"/>
    <x v="2"/>
    <s v="Yangon"/>
    <x v="1"/>
    <s v="Female"/>
    <x v="0"/>
    <n v="10.76"/>
    <n v="2"/>
    <n v="1.08"/>
    <n v="22.6"/>
    <x v="77"/>
    <s v="16:05"/>
    <x v="0"/>
    <n v="21.52"/>
    <n v="4.7618999999999998"/>
    <n v="1.08"/>
    <n v="4.5999999999999996"/>
  </r>
  <r>
    <x v="572"/>
    <x v="1"/>
    <s v="Mandalay"/>
    <x v="0"/>
    <s v="Male"/>
    <x v="5"/>
    <n v="27.38"/>
    <n v="1"/>
    <n v="1.37"/>
    <n v="28.75"/>
    <x v="34"/>
    <s v="11:00"/>
    <x v="0"/>
    <n v="27.38"/>
    <n v="4.7618999999999998"/>
    <n v="1.37"/>
    <n v="7.9"/>
  </r>
  <r>
    <x v="573"/>
    <x v="2"/>
    <s v="Yangon"/>
    <x v="0"/>
    <s v="Female"/>
    <x v="1"/>
    <n v="87.08"/>
    <n v="3"/>
    <n v="13.06"/>
    <n v="274.3"/>
    <x v="79"/>
    <s v="20:50"/>
    <x v="0"/>
    <n v="261.24"/>
    <n v="4.7618999999999998"/>
    <n v="13.06"/>
    <n v="8.8000000000000007"/>
  </r>
  <r>
    <x v="574"/>
    <x v="2"/>
    <s v="Yangon"/>
    <x v="0"/>
    <s v="Male"/>
    <x v="5"/>
    <n v="52.03"/>
    <n v="2"/>
    <n v="5.2"/>
    <n v="109.26"/>
    <x v="5"/>
    <s v="17:20"/>
    <x v="1"/>
    <n v="104.06"/>
    <n v="4.7618999999999998"/>
    <n v="5.2"/>
    <n v="8.1999999999999993"/>
  </r>
  <r>
    <x v="575"/>
    <x v="1"/>
    <s v="Mandalay"/>
    <x v="1"/>
    <s v="Female"/>
    <x v="1"/>
    <n v="34.96"/>
    <n v="1"/>
    <n v="1.75"/>
    <n v="36.71"/>
    <x v="79"/>
    <s v="16:25"/>
    <x v="2"/>
    <n v="34.96"/>
    <n v="4.7618999999999998"/>
    <n v="1.75"/>
    <n v="5.5"/>
  </r>
  <r>
    <x v="576"/>
    <x v="1"/>
    <s v="Mandalay"/>
    <x v="0"/>
    <s v="Male"/>
    <x v="1"/>
    <n v="54.25"/>
    <n v="4"/>
    <n v="10.85"/>
    <n v="227.85"/>
    <x v="43"/>
    <s v="16:10"/>
    <x v="0"/>
    <n v="217"/>
    <n v="4.7618999999999998"/>
    <n v="10.85"/>
    <n v="7"/>
  </r>
  <r>
    <x v="577"/>
    <x v="0"/>
    <s v="Naypyitaw"/>
    <x v="1"/>
    <s v="Female"/>
    <x v="3"/>
    <n v="67.900000000000006"/>
    <n v="8"/>
    <n v="27.16"/>
    <n v="570.36"/>
    <x v="20"/>
    <s v="11:00"/>
    <x v="2"/>
    <n v="543.20000000000005"/>
    <n v="4.7618999999999998"/>
    <n v="27.16"/>
    <n v="4.4000000000000004"/>
  </r>
  <r>
    <x v="578"/>
    <x v="1"/>
    <s v="Mandalay"/>
    <x v="1"/>
    <s v="Female"/>
    <x v="2"/>
    <n v="23.4"/>
    <n v="1"/>
    <n v="1.17"/>
    <n v="24.57"/>
    <x v="52"/>
    <s v="20:30"/>
    <x v="1"/>
    <n v="23.4"/>
    <n v="4.7618999999999998"/>
    <n v="1.17"/>
    <n v="4.9000000000000004"/>
  </r>
  <r>
    <x v="579"/>
    <x v="1"/>
    <s v="Mandalay"/>
    <x v="0"/>
    <s v="Male"/>
    <x v="2"/>
    <n v="49.25"/>
    <n v="2"/>
    <n v="4.93"/>
    <n v="103.43"/>
    <x v="63"/>
    <s v="13:00"/>
    <x v="1"/>
    <n v="98.5"/>
    <n v="4.7618999999999998"/>
    <n v="4.93"/>
    <n v="9.6999999999999993"/>
  </r>
  <r>
    <x v="580"/>
    <x v="1"/>
    <s v="Mandalay"/>
    <x v="0"/>
    <s v="Male"/>
    <x v="5"/>
    <n v="71.37"/>
    <n v="7"/>
    <n v="24.98"/>
    <n v="524.57000000000005"/>
    <x v="17"/>
    <s v="20:50"/>
    <x v="2"/>
    <n v="499.59"/>
    <n v="4.7618999999999998"/>
    <n v="24.98"/>
    <n v="6.2"/>
  </r>
  <r>
    <x v="581"/>
    <x v="1"/>
    <s v="Mandalay"/>
    <x v="0"/>
    <s v="Male"/>
    <x v="5"/>
    <n v="68.3"/>
    <n v="3"/>
    <n v="10.25"/>
    <n v="215.15"/>
    <x v="25"/>
    <s v="10:30"/>
    <x v="0"/>
    <n v="204.9"/>
    <n v="4.7618999999999998"/>
    <n v="10.25"/>
    <n v="5.0999999999999996"/>
  </r>
  <r>
    <x v="582"/>
    <x v="1"/>
    <s v="Mandalay"/>
    <x v="0"/>
    <s v="Male"/>
    <x v="2"/>
    <n v="17.64"/>
    <n v="8"/>
    <n v="7.06"/>
    <n v="148.18"/>
    <x v="16"/>
    <s v="12:00"/>
    <x v="2"/>
    <n v="141.12"/>
    <n v="4.7618999999999998"/>
    <n v="7.06"/>
    <n v="4.2"/>
  </r>
  <r>
    <x v="583"/>
    <x v="2"/>
    <s v="Yangon"/>
    <x v="1"/>
    <s v="Male"/>
    <x v="1"/>
    <n v="81.349999999999994"/>
    <n v="5"/>
    <n v="20.34"/>
    <n v="427.09"/>
    <x v="85"/>
    <s v="18:35"/>
    <x v="2"/>
    <n v="406.75"/>
    <n v="4.7618999999999998"/>
    <n v="20.34"/>
    <n v="4.2"/>
  </r>
  <r>
    <x v="584"/>
    <x v="1"/>
    <s v="Mandalay"/>
    <x v="0"/>
    <s v="Male"/>
    <x v="1"/>
    <n v="29.05"/>
    <n v="9"/>
    <n v="13.07"/>
    <n v="274.52"/>
    <x v="45"/>
    <s v="20:40"/>
    <x v="2"/>
    <n v="261.45"/>
    <n v="4.7618999999999998"/>
    <n v="13.07"/>
    <n v="8.4"/>
  </r>
  <r>
    <x v="585"/>
    <x v="2"/>
    <s v="Yangon"/>
    <x v="0"/>
    <s v="Female"/>
    <x v="2"/>
    <n v="68.84"/>
    <n v="8"/>
    <n v="27.54"/>
    <n v="578.26"/>
    <x v="34"/>
    <s v="10:15"/>
    <x v="0"/>
    <n v="550.72"/>
    <n v="4.7618999999999998"/>
    <n v="27.54"/>
    <n v="7.9"/>
  </r>
  <r>
    <x v="586"/>
    <x v="2"/>
    <s v="Yangon"/>
    <x v="0"/>
    <s v="Male"/>
    <x v="1"/>
    <n v="51.06"/>
    <n v="3"/>
    <n v="7.66"/>
    <n v="160.84"/>
    <x v="14"/>
    <s v="11:05"/>
    <x v="2"/>
    <n v="153.18"/>
    <n v="4.7618999999999998"/>
    <n v="7.66"/>
    <n v="7"/>
  </r>
  <r>
    <x v="587"/>
    <x v="0"/>
    <s v="Naypyitaw"/>
    <x v="0"/>
    <s v="Female"/>
    <x v="4"/>
    <n v="48.36"/>
    <n v="7"/>
    <n v="16.93"/>
    <n v="355.45"/>
    <x v="59"/>
    <s v="11:50"/>
    <x v="0"/>
    <n v="338.52"/>
    <n v="4.7618999999999998"/>
    <n v="16.93"/>
    <n v="7.3"/>
  </r>
  <r>
    <x v="588"/>
    <x v="2"/>
    <s v="Yangon"/>
    <x v="0"/>
    <s v="Female"/>
    <x v="5"/>
    <n v="15.69"/>
    <n v="5"/>
    <n v="3.92"/>
    <n v="82.37"/>
    <x v="8"/>
    <s v="16:10"/>
    <x v="0"/>
    <n v="78.45"/>
    <n v="4.7618999999999998"/>
    <n v="3.92"/>
    <n v="6.2"/>
  </r>
  <r>
    <x v="589"/>
    <x v="1"/>
    <s v="Mandalay"/>
    <x v="0"/>
    <s v="Female"/>
    <x v="4"/>
    <n v="19"/>
    <n v="10"/>
    <n v="9.5"/>
    <n v="199.5"/>
    <x v="79"/>
    <s v="12:00"/>
    <x v="1"/>
    <n v="190"/>
    <n v="4.7618999999999998"/>
    <n v="9.5"/>
    <n v="4.5"/>
  </r>
  <r>
    <x v="590"/>
    <x v="2"/>
    <s v="Yangon"/>
    <x v="0"/>
    <s v="Male"/>
    <x v="2"/>
    <n v="72.42"/>
    <n v="8"/>
    <n v="28.97"/>
    <n v="608.33000000000004"/>
    <x v="81"/>
    <s v="12:15"/>
    <x v="2"/>
    <n v="579.36"/>
    <n v="4.7618999999999998"/>
    <n v="28.97"/>
    <n v="7.8"/>
  </r>
  <r>
    <x v="591"/>
    <x v="1"/>
    <s v="Mandalay"/>
    <x v="1"/>
    <s v="Female"/>
    <x v="4"/>
    <n v="64.95"/>
    <n v="1"/>
    <n v="3.25"/>
    <n v="68.2"/>
    <x v="10"/>
    <s v="12:55"/>
    <x v="1"/>
    <n v="64.95"/>
    <n v="4.7618999999999998"/>
    <n v="3.25"/>
    <n v="7.7"/>
  </r>
  <r>
    <x v="592"/>
    <x v="0"/>
    <s v="Naypyitaw"/>
    <x v="1"/>
    <s v="Male"/>
    <x v="2"/>
    <n v="10.41"/>
    <n v="4"/>
    <n v="2.08"/>
    <n v="43.72"/>
    <x v="16"/>
    <s v="11:40"/>
    <x v="2"/>
    <n v="41.64"/>
    <n v="4.7618999999999998"/>
    <n v="2.08"/>
    <n v="7.7"/>
  </r>
  <r>
    <x v="593"/>
    <x v="0"/>
    <s v="Naypyitaw"/>
    <x v="0"/>
    <s v="Male"/>
    <x v="0"/>
    <n v="69.34"/>
    <n v="5"/>
    <n v="17.34"/>
    <n v="364.04"/>
    <x v="73"/>
    <s v="13:05"/>
    <x v="2"/>
    <n v="346.7"/>
    <n v="4.7618999999999998"/>
    <n v="17.34"/>
    <n v="8.1"/>
  </r>
  <r>
    <x v="594"/>
    <x v="1"/>
    <s v="Mandalay"/>
    <x v="0"/>
    <s v="Female"/>
    <x v="0"/>
    <n v="93.04"/>
    <n v="1"/>
    <n v="4.6500000000000004"/>
    <n v="97.69"/>
    <x v="80"/>
    <s v="15:20"/>
    <x v="2"/>
    <n v="93.04"/>
    <n v="4.7618999999999998"/>
    <n v="4.6500000000000004"/>
    <n v="6.6"/>
  </r>
  <r>
    <x v="595"/>
    <x v="0"/>
    <s v="Naypyitaw"/>
    <x v="1"/>
    <s v="Female"/>
    <x v="1"/>
    <n v="76.64"/>
    <n v="9"/>
    <n v="34.49"/>
    <n v="724.25"/>
    <x v="32"/>
    <s v="12:00"/>
    <x v="1"/>
    <n v="689.76"/>
    <n v="4.7618999999999998"/>
    <n v="34.49"/>
    <n v="7.1"/>
  </r>
  <r>
    <x v="596"/>
    <x v="2"/>
    <s v="Yangon"/>
    <x v="1"/>
    <s v="Male"/>
    <x v="2"/>
    <n v="27.89"/>
    <n v="6"/>
    <n v="8.3699999999999992"/>
    <n v="175.71"/>
    <x v="57"/>
    <s v="11:25"/>
    <x v="2"/>
    <n v="167.34"/>
    <n v="4.7618999999999998"/>
    <n v="8.3699999999999992"/>
    <n v="4.5999999999999996"/>
  </r>
  <r>
    <x v="597"/>
    <x v="1"/>
    <s v="Mandalay"/>
    <x v="0"/>
    <s v="Male"/>
    <x v="4"/>
    <n v="16.62"/>
    <n v="10"/>
    <n v="8.31"/>
    <n v="174.51"/>
    <x v="44"/>
    <s v="10:30"/>
    <x v="2"/>
    <n v="166.2"/>
    <n v="4.7618999999999998"/>
    <n v="8.31"/>
    <n v="5.3"/>
  </r>
  <r>
    <x v="598"/>
    <x v="1"/>
    <s v="Mandalay"/>
    <x v="0"/>
    <s v="Male"/>
    <x v="5"/>
    <n v="22.28"/>
    <n v="4"/>
    <n v="4.46"/>
    <n v="93.58"/>
    <x v="58"/>
    <s v="15:20"/>
    <x v="2"/>
    <n v="89.12"/>
    <n v="4.7618999999999998"/>
    <n v="4.46"/>
    <n v="6"/>
  </r>
  <r>
    <x v="599"/>
    <x v="0"/>
    <s v="Naypyitaw"/>
    <x v="0"/>
    <s v="Male"/>
    <x v="4"/>
    <n v="20"/>
    <n v="8"/>
    <n v="8"/>
    <n v="168"/>
    <x v="45"/>
    <s v="16:10"/>
    <x v="1"/>
    <n v="160"/>
    <n v="4.7618999999999998"/>
    <n v="8"/>
    <n v="5.3"/>
  </r>
  <r>
    <x v="600"/>
    <x v="0"/>
    <s v="Naypyitaw"/>
    <x v="0"/>
    <s v="Female"/>
    <x v="3"/>
    <n v="97.31"/>
    <n v="4"/>
    <n v="19.46"/>
    <n v="408.7"/>
    <x v="19"/>
    <s v="16:40"/>
    <x v="1"/>
    <n v="389.24"/>
    <n v="4.7618999999999998"/>
    <n v="19.46"/>
    <n v="9.1999999999999993"/>
  </r>
  <r>
    <x v="601"/>
    <x v="0"/>
    <s v="Naypyitaw"/>
    <x v="1"/>
    <s v="Male"/>
    <x v="5"/>
    <n v="11.31"/>
    <n v="7"/>
    <n v="3.96"/>
    <n v="83.13"/>
    <x v="40"/>
    <s v="13:25"/>
    <x v="1"/>
    <n v="79.17"/>
    <n v="4.7618999999999998"/>
    <n v="3.96"/>
    <n v="7.5"/>
  </r>
  <r>
    <x v="602"/>
    <x v="2"/>
    <s v="Yangon"/>
    <x v="0"/>
    <s v="Male"/>
    <x v="1"/>
    <n v="13.61"/>
    <n v="8"/>
    <n v="5.44"/>
    <n v="114.32"/>
    <x v="1"/>
    <s v="10:30"/>
    <x v="0"/>
    <n v="108.88"/>
    <n v="4.7618999999999998"/>
    <n v="5.44"/>
    <n v="6.4"/>
  </r>
  <r>
    <x v="603"/>
    <x v="0"/>
    <s v="Naypyitaw"/>
    <x v="0"/>
    <s v="Male"/>
    <x v="2"/>
    <n v="31.65"/>
    <n v="9"/>
    <n v="14.24"/>
    <n v="299.08999999999997"/>
    <x v="77"/>
    <s v="16:15"/>
    <x v="2"/>
    <n v="284.85000000000002"/>
    <n v="4.7618999999999998"/>
    <n v="14.24"/>
    <n v="6.2"/>
  </r>
  <r>
    <x v="604"/>
    <x v="0"/>
    <s v="Naypyitaw"/>
    <x v="0"/>
    <s v="Female"/>
    <x v="2"/>
    <n v="70.209999999999994"/>
    <n v="3"/>
    <n v="10.53"/>
    <n v="221.16"/>
    <x v="45"/>
    <s v="19:55"/>
    <x v="0"/>
    <n v="210.63"/>
    <n v="4.7618999999999998"/>
    <n v="10.53"/>
    <n v="4.0999999999999996"/>
  </r>
  <r>
    <x v="605"/>
    <x v="1"/>
    <s v="Mandalay"/>
    <x v="0"/>
    <s v="Male"/>
    <x v="4"/>
    <n v="81.09"/>
    <n v="6"/>
    <n v="24.33"/>
    <n v="510.87"/>
    <x v="58"/>
    <s v="17:55"/>
    <x v="0"/>
    <n v="486.54"/>
    <n v="4.7618999999999998"/>
    <n v="24.33"/>
    <n v="4"/>
  </r>
  <r>
    <x v="606"/>
    <x v="2"/>
    <s v="Yangon"/>
    <x v="1"/>
    <s v="Male"/>
    <x v="3"/>
    <n v="12.94"/>
    <n v="7"/>
    <n v="4.53"/>
    <n v="95.11"/>
    <x v="48"/>
    <s v="19:40"/>
    <x v="0"/>
    <n v="90.58"/>
    <n v="4.7618999999999998"/>
    <n v="4.53"/>
    <n v="8.8000000000000007"/>
  </r>
  <r>
    <x v="607"/>
    <x v="0"/>
    <s v="Naypyitaw"/>
    <x v="0"/>
    <s v="Male"/>
    <x v="0"/>
    <n v="93.9"/>
    <n v="9"/>
    <n v="42.26"/>
    <n v="887.36"/>
    <x v="61"/>
    <s v="15:00"/>
    <x v="2"/>
    <n v="845.1"/>
    <n v="4.7618999999999998"/>
    <n v="42.26"/>
    <n v="6.3"/>
  </r>
  <r>
    <x v="608"/>
    <x v="0"/>
    <s v="Naypyitaw"/>
    <x v="0"/>
    <s v="Male"/>
    <x v="5"/>
    <n v="25.77"/>
    <n v="9"/>
    <n v="11.6"/>
    <n v="243.53"/>
    <x v="36"/>
    <s v="18:55"/>
    <x v="2"/>
    <n v="231.93"/>
    <n v="4.7618999999999998"/>
    <n v="11.6"/>
    <n v="4.8"/>
  </r>
  <r>
    <x v="609"/>
    <x v="2"/>
    <s v="Yangon"/>
    <x v="0"/>
    <s v="Male"/>
    <x v="0"/>
    <n v="94.52"/>
    <n v="10"/>
    <n v="47.26"/>
    <n v="992.46"/>
    <x v="83"/>
    <s v="13:25"/>
    <x v="1"/>
    <n v="945.2"/>
    <n v="4.7618999999999998"/>
    <n v="47.26"/>
    <n v="9.4"/>
  </r>
  <r>
    <x v="610"/>
    <x v="0"/>
    <s v="Naypyitaw"/>
    <x v="1"/>
    <s v="Male"/>
    <x v="1"/>
    <n v="15.7"/>
    <n v="6"/>
    <n v="4.71"/>
    <n v="98.91"/>
    <x v="68"/>
    <s v="17:40"/>
    <x v="0"/>
    <n v="94.2"/>
    <n v="4.7618999999999998"/>
    <n v="4.71"/>
    <n v="9"/>
  </r>
  <r>
    <x v="611"/>
    <x v="0"/>
    <s v="Naypyitaw"/>
    <x v="1"/>
    <s v="Male"/>
    <x v="3"/>
    <n v="43.13"/>
    <n v="2"/>
    <n v="4.3099999999999996"/>
    <n v="90.57"/>
    <x v="16"/>
    <s v="17:05"/>
    <x v="2"/>
    <n v="86.26"/>
    <n v="4.7618999999999998"/>
    <n v="4.3099999999999996"/>
    <n v="6.3"/>
  </r>
  <r>
    <x v="612"/>
    <x v="1"/>
    <s v="Mandalay"/>
    <x v="0"/>
    <s v="Female"/>
    <x v="4"/>
    <n v="34.83"/>
    <n v="3"/>
    <n v="5.22"/>
    <n v="109.71"/>
    <x v="85"/>
    <s v="12:15"/>
    <x v="0"/>
    <n v="104.49"/>
    <n v="4.7618999999999998"/>
    <n v="5.22"/>
    <n v="9.6999999999999993"/>
  </r>
  <r>
    <x v="613"/>
    <x v="1"/>
    <s v="Mandalay"/>
    <x v="1"/>
    <s v="Female"/>
    <x v="2"/>
    <n v="41.2"/>
    <n v="8"/>
    <n v="16.48"/>
    <n v="346.08"/>
    <x v="80"/>
    <s v="10:20"/>
    <x v="2"/>
    <n v="329.6"/>
    <n v="4.7618999999999998"/>
    <n v="16.48"/>
    <n v="4.4000000000000004"/>
  </r>
  <r>
    <x v="614"/>
    <x v="2"/>
    <s v="Yangon"/>
    <x v="1"/>
    <s v="Male"/>
    <x v="3"/>
    <n v="40.85"/>
    <n v="6"/>
    <n v="12.26"/>
    <n v="257.36"/>
    <x v="44"/>
    <s v="19:50"/>
    <x v="0"/>
    <n v="245.1"/>
    <n v="4.7618999999999998"/>
    <n v="12.26"/>
    <n v="7.2"/>
  </r>
  <r>
    <x v="615"/>
    <x v="1"/>
    <s v="Mandalay"/>
    <x v="1"/>
    <s v="Male"/>
    <x v="3"/>
    <n v="21.88"/>
    <n v="5"/>
    <n v="5.47"/>
    <n v="114.87"/>
    <x v="38"/>
    <s v="14:15"/>
    <x v="1"/>
    <n v="109.4"/>
    <n v="4.7618999999999998"/>
    <n v="5.47"/>
    <n v="6.2"/>
  </r>
  <r>
    <x v="616"/>
    <x v="2"/>
    <s v="Yangon"/>
    <x v="0"/>
    <s v="Male"/>
    <x v="5"/>
    <n v="51.03"/>
    <n v="3"/>
    <n v="7.65"/>
    <n v="160.74"/>
    <x v="34"/>
    <s v="12:55"/>
    <x v="0"/>
    <n v="153.09"/>
    <n v="4.7618999999999998"/>
    <n v="7.65"/>
    <n v="5.7"/>
  </r>
  <r>
    <x v="617"/>
    <x v="0"/>
    <s v="Naypyitaw"/>
    <x v="0"/>
    <s v="Female"/>
    <x v="4"/>
    <n v="20.52"/>
    <n v="6"/>
    <n v="6.16"/>
    <n v="129.28"/>
    <x v="4"/>
    <s v="12:35"/>
    <x v="1"/>
    <n v="123.12"/>
    <n v="4.7618999999999998"/>
    <n v="6.16"/>
    <n v="6.2"/>
  </r>
  <r>
    <x v="618"/>
    <x v="0"/>
    <s v="Naypyitaw"/>
    <x v="0"/>
    <s v="Male"/>
    <x v="5"/>
    <n v="23.31"/>
    <n v="8"/>
    <n v="9.32"/>
    <n v="195.8"/>
    <x v="63"/>
    <s v="12:40"/>
    <x v="1"/>
    <n v="186.48"/>
    <n v="4.7618999999999998"/>
    <n v="9.32"/>
    <n v="4.7"/>
  </r>
  <r>
    <x v="619"/>
    <x v="1"/>
    <s v="Mandalay"/>
    <x v="1"/>
    <s v="Female"/>
    <x v="2"/>
    <n v="93.5"/>
    <n v="3"/>
    <n v="14.03"/>
    <n v="294.52999999999997"/>
    <x v="78"/>
    <s v="18:40"/>
    <x v="1"/>
    <n v="280.5"/>
    <n v="4.7618999999999998"/>
    <n v="14.03"/>
    <n v="7.9"/>
  </r>
  <r>
    <x v="620"/>
    <x v="1"/>
    <s v="Mandalay"/>
    <x v="1"/>
    <s v="Female"/>
    <x v="3"/>
    <n v="75.569999999999993"/>
    <n v="8"/>
    <n v="30.23"/>
    <n v="634.79"/>
    <x v="54"/>
    <s v="11:55"/>
    <x v="1"/>
    <n v="604.55999999999995"/>
    <n v="4.7618999999999998"/>
    <n v="30.23"/>
    <n v="9.4"/>
  </r>
  <r>
    <x v="621"/>
    <x v="0"/>
    <s v="Naypyitaw"/>
    <x v="0"/>
    <s v="Male"/>
    <x v="1"/>
    <n v="46.15"/>
    <n v="4"/>
    <n v="9.23"/>
    <n v="193.83"/>
    <x v="68"/>
    <s v="15:05"/>
    <x v="1"/>
    <n v="184.6"/>
    <n v="4.7618999999999998"/>
    <n v="9.23"/>
    <n v="4.3"/>
  </r>
  <r>
    <x v="622"/>
    <x v="2"/>
    <s v="Yangon"/>
    <x v="0"/>
    <s v="Male"/>
    <x v="4"/>
    <n v="12.03"/>
    <n v="9"/>
    <n v="5.41"/>
    <n v="113.68"/>
    <x v="68"/>
    <s v="20:50"/>
    <x v="2"/>
    <n v="108.27"/>
    <n v="4.7618999999999998"/>
    <n v="5.41"/>
    <n v="9.9"/>
  </r>
  <r>
    <x v="623"/>
    <x v="2"/>
    <s v="Yangon"/>
    <x v="1"/>
    <s v="Male"/>
    <x v="3"/>
    <n v="64.459999999999994"/>
    <n v="1"/>
    <n v="3.22"/>
    <n v="67.680000000000007"/>
    <x v="23"/>
    <s v="15:30"/>
    <x v="2"/>
    <n v="64.459999999999994"/>
    <n v="4.7618999999999998"/>
    <n v="3.22"/>
    <n v="8.3000000000000007"/>
  </r>
  <r>
    <x v="624"/>
    <x v="1"/>
    <s v="Mandalay"/>
    <x v="1"/>
    <s v="Male"/>
    <x v="1"/>
    <n v="35.619999999999997"/>
    <n v="6"/>
    <n v="10.69"/>
    <n v="224.41"/>
    <x v="12"/>
    <s v="17:40"/>
    <x v="2"/>
    <n v="213.72"/>
    <n v="4.7618999999999998"/>
    <n v="10.69"/>
    <n v="5.3"/>
  </r>
  <r>
    <x v="625"/>
    <x v="0"/>
    <s v="Naypyitaw"/>
    <x v="1"/>
    <s v="Male"/>
    <x v="5"/>
    <n v="24.74"/>
    <n v="7"/>
    <n v="8.66"/>
    <n v="181.84"/>
    <x v="74"/>
    <s v="12:45"/>
    <x v="0"/>
    <n v="173.18"/>
    <n v="4.7618999999999998"/>
    <n v="8.66"/>
    <n v="4.5"/>
  </r>
  <r>
    <x v="626"/>
    <x v="1"/>
    <s v="Mandalay"/>
    <x v="1"/>
    <s v="Male"/>
    <x v="1"/>
    <n v="93.98"/>
    <n v="10"/>
    <n v="46.99"/>
    <n v="986.79"/>
    <x v="79"/>
    <s v="11:00"/>
    <x v="1"/>
    <n v="939.8"/>
    <n v="4.7618999999999998"/>
    <n v="46.99"/>
    <n v="7.8"/>
  </r>
  <r>
    <x v="627"/>
    <x v="1"/>
    <s v="Mandalay"/>
    <x v="0"/>
    <s v="Male"/>
    <x v="0"/>
    <n v="61.11"/>
    <n v="3"/>
    <n v="9.17"/>
    <n v="192.5"/>
    <x v="30"/>
    <s v="12:30"/>
    <x v="1"/>
    <n v="183.33"/>
    <n v="4.7618999999999998"/>
    <n v="9.17"/>
    <n v="7.3"/>
  </r>
  <r>
    <x v="628"/>
    <x v="1"/>
    <s v="Mandalay"/>
    <x v="1"/>
    <s v="Male"/>
    <x v="3"/>
    <n v="76.59"/>
    <n v="4"/>
    <n v="15.32"/>
    <n v="321.68"/>
    <x v="49"/>
    <s v="10:10"/>
    <x v="1"/>
    <n v="306.36"/>
    <n v="4.7618999999999998"/>
    <n v="15.32"/>
    <n v="5.8"/>
  </r>
  <r>
    <x v="629"/>
    <x v="0"/>
    <s v="Naypyitaw"/>
    <x v="1"/>
    <s v="Female"/>
    <x v="0"/>
    <n v="69.930000000000007"/>
    <n v="5"/>
    <n v="17.48"/>
    <n v="367.13"/>
    <x v="74"/>
    <s v="12:35"/>
    <x v="0"/>
    <n v="349.65"/>
    <n v="4.7618999999999998"/>
    <n v="17.48"/>
    <n v="7.9"/>
  </r>
  <r>
    <x v="630"/>
    <x v="2"/>
    <s v="Yangon"/>
    <x v="1"/>
    <s v="Male"/>
    <x v="1"/>
    <n v="63.9"/>
    <n v="6"/>
    <n v="19.170000000000002"/>
    <n v="402.57"/>
    <x v="21"/>
    <s v="17:45"/>
    <x v="1"/>
    <n v="383.4"/>
    <n v="4.7618999999999998"/>
    <n v="19.170000000000002"/>
    <n v="9.1999999999999993"/>
  </r>
  <r>
    <x v="631"/>
    <x v="0"/>
    <s v="Naypyitaw"/>
    <x v="1"/>
    <s v="Female"/>
    <x v="5"/>
    <n v="56.13"/>
    <n v="10"/>
    <n v="28.06"/>
    <n v="589.36"/>
    <x v="37"/>
    <s v="14:10"/>
    <x v="0"/>
    <n v="561.29999999999995"/>
    <n v="4.7618999999999998"/>
    <n v="28.06"/>
    <n v="4.4000000000000004"/>
  </r>
  <r>
    <x v="632"/>
    <x v="1"/>
    <s v="Mandalay"/>
    <x v="0"/>
    <s v="Male"/>
    <x v="4"/>
    <n v="14.76"/>
    <n v="6"/>
    <n v="4.43"/>
    <n v="92.99"/>
    <x v="74"/>
    <s v="20:25"/>
    <x v="2"/>
    <n v="88.56"/>
    <n v="4.7618999999999998"/>
    <n v="4.43"/>
    <n v="5.7"/>
  </r>
  <r>
    <x v="633"/>
    <x v="0"/>
    <s v="Naypyitaw"/>
    <x v="0"/>
    <s v="Female"/>
    <x v="0"/>
    <n v="26.49"/>
    <n v="2"/>
    <n v="2.65"/>
    <n v="55.63"/>
    <x v="10"/>
    <s v="12:40"/>
    <x v="1"/>
    <n v="52.98"/>
    <n v="4.7618999999999998"/>
    <n v="2.65"/>
    <n v="9.1999999999999993"/>
  </r>
  <r>
    <x v="634"/>
    <x v="0"/>
    <s v="Naypyitaw"/>
    <x v="1"/>
    <s v="Male"/>
    <x v="0"/>
    <n v="72.819999999999993"/>
    <n v="6"/>
    <n v="21.85"/>
    <n v="458.77"/>
    <x v="75"/>
    <s v="18:45"/>
    <x v="1"/>
    <n v="436.92"/>
    <n v="4.7618999999999998"/>
    <n v="21.85"/>
    <n v="8.9"/>
  </r>
  <r>
    <x v="635"/>
    <x v="2"/>
    <s v="Yangon"/>
    <x v="1"/>
    <s v="Male"/>
    <x v="2"/>
    <n v="47.08"/>
    <n v="3"/>
    <n v="7.06"/>
    <n v="148.30000000000001"/>
    <x v="42"/>
    <s v="13:10"/>
    <x v="0"/>
    <n v="141.24"/>
    <n v="4.7618999999999998"/>
    <n v="7.06"/>
    <n v="5.3"/>
  </r>
  <r>
    <x v="636"/>
    <x v="0"/>
    <s v="Naypyitaw"/>
    <x v="0"/>
    <s v="Male"/>
    <x v="2"/>
    <n v="92.44"/>
    <n v="2"/>
    <n v="9.24"/>
    <n v="194.12"/>
    <x v="27"/>
    <s v="10:35"/>
    <x v="1"/>
    <n v="184.88"/>
    <n v="4.7618999999999998"/>
    <n v="9.24"/>
    <n v="5.9"/>
  </r>
  <r>
    <x v="637"/>
    <x v="2"/>
    <s v="Yangon"/>
    <x v="1"/>
    <s v="Male"/>
    <x v="4"/>
    <n v="73.89"/>
    <n v="1"/>
    <n v="3.69"/>
    <n v="77.58"/>
    <x v="41"/>
    <s v="13:10"/>
    <x v="0"/>
    <n v="73.89"/>
    <n v="4.7618999999999998"/>
    <n v="3.69"/>
    <n v="4.9000000000000004"/>
  </r>
  <r>
    <x v="638"/>
    <x v="1"/>
    <s v="Mandalay"/>
    <x v="0"/>
    <s v="Female"/>
    <x v="4"/>
    <n v="98.3"/>
    <n v="7"/>
    <n v="34.409999999999997"/>
    <n v="722.51"/>
    <x v="81"/>
    <s v="11:05"/>
    <x v="2"/>
    <n v="688.1"/>
    <n v="4.7618999999999998"/>
    <n v="34.409999999999997"/>
    <n v="8.6"/>
  </r>
  <r>
    <x v="639"/>
    <x v="1"/>
    <s v="Mandalay"/>
    <x v="0"/>
    <s v="Female"/>
    <x v="1"/>
    <n v="12.95"/>
    <n v="9"/>
    <n v="5.83"/>
    <n v="122.38"/>
    <x v="14"/>
    <s v="10:35"/>
    <x v="2"/>
    <n v="116.55"/>
    <n v="4.7618999999999998"/>
    <n v="5.83"/>
    <n v="9.5"/>
  </r>
  <r>
    <x v="640"/>
    <x v="2"/>
    <s v="Yangon"/>
    <x v="1"/>
    <s v="Female"/>
    <x v="1"/>
    <n v="80.41"/>
    <n v="10"/>
    <n v="40.21"/>
    <n v="844.31"/>
    <x v="83"/>
    <s v="19:15"/>
    <x v="2"/>
    <n v="804.1"/>
    <n v="4.7618999999999998"/>
    <n v="40.21"/>
    <n v="8"/>
  </r>
  <r>
    <x v="641"/>
    <x v="2"/>
    <s v="Yangon"/>
    <x v="0"/>
    <s v="Male"/>
    <x v="3"/>
    <n v="41.31"/>
    <n v="3"/>
    <n v="6.2"/>
    <n v="130.13"/>
    <x v="1"/>
    <s v="19:15"/>
    <x v="0"/>
    <n v="123.93"/>
    <n v="4.7618999999999998"/>
    <n v="6.2"/>
    <n v="7.4"/>
  </r>
  <r>
    <x v="642"/>
    <x v="0"/>
    <s v="Naypyitaw"/>
    <x v="0"/>
    <s v="Female"/>
    <x v="0"/>
    <n v="27.24"/>
    <n v="5"/>
    <n v="6.81"/>
    <n v="143.01"/>
    <x v="38"/>
    <s v="18:00"/>
    <x v="0"/>
    <n v="136.19999999999999"/>
    <n v="4.7618999999999998"/>
    <n v="6.81"/>
    <n v="4.5999999999999996"/>
  </r>
  <r>
    <x v="643"/>
    <x v="0"/>
    <s v="Naypyitaw"/>
    <x v="1"/>
    <s v="Male"/>
    <x v="0"/>
    <n v="63.04"/>
    <n v="8"/>
    <n v="25.22"/>
    <n v="529.54"/>
    <x v="61"/>
    <s v="11:10"/>
    <x v="1"/>
    <n v="504.32"/>
    <n v="4.7618999999999998"/>
    <n v="25.22"/>
    <n v="9.9"/>
  </r>
  <r>
    <x v="644"/>
    <x v="2"/>
    <s v="Yangon"/>
    <x v="0"/>
    <s v="Male"/>
    <x v="1"/>
    <n v="78.53"/>
    <n v="6"/>
    <n v="23.56"/>
    <n v="494.74"/>
    <x v="41"/>
    <s v="17:05"/>
    <x v="0"/>
    <n v="471.18"/>
    <n v="4.7618999999999998"/>
    <n v="23.56"/>
    <n v="4.8"/>
  </r>
  <r>
    <x v="645"/>
    <x v="1"/>
    <s v="Mandalay"/>
    <x v="1"/>
    <s v="Female"/>
    <x v="1"/>
    <n v="39.53"/>
    <n v="2"/>
    <n v="3.95"/>
    <n v="83.01"/>
    <x v="33"/>
    <s v="14:35"/>
    <x v="0"/>
    <n v="79.06"/>
    <n v="4.7618999999999998"/>
    <n v="3.95"/>
    <n v="8.4"/>
  </r>
  <r>
    <x v="646"/>
    <x v="1"/>
    <s v="Mandalay"/>
    <x v="0"/>
    <s v="Male"/>
    <x v="5"/>
    <n v="98.65"/>
    <n v="7"/>
    <n v="34.53"/>
    <n v="725.08"/>
    <x v="16"/>
    <s v="11:35"/>
    <x v="0"/>
    <n v="690.55"/>
    <n v="4.7618999999999998"/>
    <n v="34.53"/>
    <n v="6.2"/>
  </r>
  <r>
    <x v="647"/>
    <x v="0"/>
    <s v="Naypyitaw"/>
    <x v="1"/>
    <s v="Female"/>
    <x v="2"/>
    <n v="49.43"/>
    <n v="2"/>
    <n v="4.9400000000000004"/>
    <n v="103.8"/>
    <x v="41"/>
    <s v="12:30"/>
    <x v="1"/>
    <n v="98.86"/>
    <n v="4.7618999999999998"/>
    <n v="4.9400000000000004"/>
    <n v="8.1999999999999993"/>
  </r>
  <r>
    <x v="648"/>
    <x v="0"/>
    <s v="Naypyitaw"/>
    <x v="0"/>
    <s v="Female"/>
    <x v="5"/>
    <n v="97.77"/>
    <n v="6"/>
    <n v="29.33"/>
    <n v="615.95000000000005"/>
    <x v="30"/>
    <s v="19:30"/>
    <x v="2"/>
    <n v="586.62"/>
    <n v="4.7618999999999998"/>
    <n v="29.33"/>
    <n v="5.4"/>
  </r>
  <r>
    <x v="649"/>
    <x v="0"/>
    <s v="Naypyitaw"/>
    <x v="1"/>
    <s v="Male"/>
    <x v="0"/>
    <n v="78.94"/>
    <n v="10"/>
    <n v="39.47"/>
    <n v="828.87"/>
    <x v="48"/>
    <s v="20:30"/>
    <x v="1"/>
    <n v="789.4"/>
    <n v="4.7618999999999998"/>
    <n v="39.47"/>
    <n v="6.9"/>
  </r>
  <r>
    <x v="650"/>
    <x v="1"/>
    <s v="Mandalay"/>
    <x v="1"/>
    <s v="Male"/>
    <x v="4"/>
    <n v="79.12"/>
    <n v="2"/>
    <n v="7.91"/>
    <n v="166.15"/>
    <x v="41"/>
    <s v="14:35"/>
    <x v="1"/>
    <n v="158.24"/>
    <n v="4.7618999999999998"/>
    <n v="7.91"/>
    <n v="5.4"/>
  </r>
  <r>
    <x v="651"/>
    <x v="2"/>
    <s v="Yangon"/>
    <x v="0"/>
    <s v="Female"/>
    <x v="1"/>
    <n v="54.83"/>
    <n v="1"/>
    <n v="2.74"/>
    <n v="57.57"/>
    <x v="32"/>
    <s v="16:45"/>
    <x v="0"/>
    <n v="54.83"/>
    <n v="4.7618999999999998"/>
    <n v="2.74"/>
    <n v="6"/>
  </r>
  <r>
    <x v="652"/>
    <x v="0"/>
    <s v="Naypyitaw"/>
    <x v="0"/>
    <s v="Female"/>
    <x v="0"/>
    <n v="77.64"/>
    <n v="8"/>
    <n v="31.06"/>
    <n v="652.17999999999995"/>
    <x v="6"/>
    <s v="13:20"/>
    <x v="0"/>
    <n v="621.12"/>
    <n v="4.7618999999999998"/>
    <n v="31.06"/>
    <n v="7"/>
  </r>
  <r>
    <x v="653"/>
    <x v="1"/>
    <s v="Mandalay"/>
    <x v="1"/>
    <s v="Female"/>
    <x v="1"/>
    <n v="99.16"/>
    <n v="2"/>
    <n v="9.92"/>
    <n v="208.24"/>
    <x v="33"/>
    <s v="17:25"/>
    <x v="1"/>
    <n v="198.32"/>
    <n v="4.7618999999999998"/>
    <n v="9.92"/>
    <n v="6.7"/>
  </r>
  <r>
    <x v="654"/>
    <x v="2"/>
    <s v="Yangon"/>
    <x v="0"/>
    <s v="Male"/>
    <x v="0"/>
    <n v="24.77"/>
    <n v="7"/>
    <n v="8.67"/>
    <n v="182.06"/>
    <x v="0"/>
    <s v="14:55"/>
    <x v="1"/>
    <n v="173.39"/>
    <n v="4.7618999999999998"/>
    <n v="8.67"/>
    <n v="6.9"/>
  </r>
  <r>
    <x v="655"/>
    <x v="0"/>
    <s v="Naypyitaw"/>
    <x v="1"/>
    <s v="Male"/>
    <x v="2"/>
    <n v="60.6"/>
    <n v="3"/>
    <n v="9.09"/>
    <n v="190.89"/>
    <x v="1"/>
    <s v="10:30"/>
    <x v="1"/>
    <n v="181.8"/>
    <n v="4.7618999999999998"/>
    <n v="9.09"/>
    <n v="7"/>
  </r>
  <r>
    <x v="656"/>
    <x v="0"/>
    <s v="Naypyitaw"/>
    <x v="1"/>
    <s v="Male"/>
    <x v="5"/>
    <n v="15.53"/>
    <n v="10"/>
    <n v="7.77"/>
    <n v="163.07"/>
    <x v="55"/>
    <s v="12:25"/>
    <x v="1"/>
    <n v="155.30000000000001"/>
    <n v="4.7618999999999998"/>
    <n v="7.77"/>
    <n v="8.9"/>
  </r>
  <r>
    <x v="657"/>
    <x v="2"/>
    <s v="Yangon"/>
    <x v="1"/>
    <s v="Male"/>
    <x v="1"/>
    <n v="48.53"/>
    <n v="6"/>
    <n v="14.56"/>
    <n v="305.74"/>
    <x v="29"/>
    <s v="15:00"/>
    <x v="0"/>
    <n v="291.18"/>
    <n v="4.7618999999999998"/>
    <n v="14.56"/>
    <n v="5.5"/>
  </r>
  <r>
    <x v="658"/>
    <x v="0"/>
    <s v="Naypyitaw"/>
    <x v="1"/>
    <s v="Female"/>
    <x v="0"/>
    <n v="15.9"/>
    <n v="5"/>
    <n v="3.98"/>
    <n v="83.48"/>
    <x v="46"/>
    <s v="15:10"/>
    <x v="2"/>
    <n v="79.5"/>
    <n v="4.7618999999999998"/>
    <n v="3.98"/>
    <n v="7.2"/>
  </r>
  <r>
    <x v="659"/>
    <x v="1"/>
    <s v="Mandalay"/>
    <x v="1"/>
    <s v="Male"/>
    <x v="5"/>
    <n v="11.84"/>
    <n v="8"/>
    <n v="4.74"/>
    <n v="99.46"/>
    <x v="14"/>
    <s v="10:25"/>
    <x v="1"/>
    <n v="94.72"/>
    <n v="4.7618999999999998"/>
    <n v="4.74"/>
    <n v="7.4"/>
  </r>
  <r>
    <x v="660"/>
    <x v="0"/>
    <s v="Naypyitaw"/>
    <x v="0"/>
    <s v="Male"/>
    <x v="1"/>
    <n v="72.180000000000007"/>
    <n v="4"/>
    <n v="14.44"/>
    <n v="303.16000000000003"/>
    <x v="54"/>
    <s v="17:40"/>
    <x v="0"/>
    <n v="288.72000000000003"/>
    <n v="4.7618999999999998"/>
    <n v="14.44"/>
    <n v="6"/>
  </r>
  <r>
    <x v="661"/>
    <x v="1"/>
    <s v="Mandalay"/>
    <x v="1"/>
    <s v="Male"/>
    <x v="4"/>
    <n v="54.73"/>
    <n v="2"/>
    <n v="5.47"/>
    <n v="114.93"/>
    <x v="71"/>
    <s v="13:20"/>
    <x v="1"/>
    <n v="109.46"/>
    <n v="4.7618999999999998"/>
    <n v="5.47"/>
    <n v="4.3"/>
  </r>
  <r>
    <x v="662"/>
    <x v="1"/>
    <s v="Mandalay"/>
    <x v="0"/>
    <s v="Female"/>
    <x v="0"/>
    <n v="85.98"/>
    <n v="2"/>
    <n v="8.6"/>
    <n v="180.56"/>
    <x v="14"/>
    <s v="15:20"/>
    <x v="2"/>
    <n v="171.96"/>
    <n v="4.7618999999999998"/>
    <n v="8.6"/>
    <n v="7.4"/>
  </r>
  <r>
    <x v="663"/>
    <x v="1"/>
    <s v="Mandalay"/>
    <x v="1"/>
    <s v="Female"/>
    <x v="5"/>
    <n v="81.61"/>
    <n v="5"/>
    <n v="20.399999999999999"/>
    <n v="428.45"/>
    <x v="1"/>
    <s v="14:30"/>
    <x v="0"/>
    <n v="408.05"/>
    <n v="4.7618999999999998"/>
    <n v="20.399999999999999"/>
    <n v="7.2"/>
  </r>
  <r>
    <x v="664"/>
    <x v="1"/>
    <s v="Mandalay"/>
    <x v="1"/>
    <s v="Male"/>
    <x v="3"/>
    <n v="56.38"/>
    <n v="9"/>
    <n v="25.37"/>
    <n v="532.79"/>
    <x v="18"/>
    <s v="10:50"/>
    <x v="0"/>
    <n v="507.42"/>
    <n v="4.7618999999999998"/>
    <n v="25.37"/>
    <n v="7.1"/>
  </r>
  <r>
    <x v="665"/>
    <x v="0"/>
    <s v="Naypyitaw"/>
    <x v="1"/>
    <s v="Female"/>
    <x v="0"/>
    <n v="96.59"/>
    <n v="8"/>
    <n v="38.64"/>
    <n v="811.36"/>
    <x v="48"/>
    <s v="20:40"/>
    <x v="0"/>
    <n v="772.72"/>
    <n v="4.7618999999999998"/>
    <n v="38.64"/>
    <n v="9.1"/>
  </r>
  <r>
    <x v="666"/>
    <x v="0"/>
    <s v="Naypyitaw"/>
    <x v="0"/>
    <s v="Female"/>
    <x v="5"/>
    <n v="51.62"/>
    <n v="4"/>
    <n v="10.32"/>
    <n v="216.8"/>
    <x v="82"/>
    <s v="20:20"/>
    <x v="1"/>
    <n v="206.48"/>
    <n v="4.7618999999999998"/>
    <n v="10.32"/>
    <n v="6.5"/>
  </r>
  <r>
    <x v="667"/>
    <x v="2"/>
    <s v="Yangon"/>
    <x v="0"/>
    <s v="Male"/>
    <x v="5"/>
    <n v="84.13"/>
    <n v="3"/>
    <n v="12.62"/>
    <n v="265.01"/>
    <x v="39"/>
    <s v="20:45"/>
    <x v="2"/>
    <n v="252.39"/>
    <n v="4.7618999999999998"/>
    <n v="12.62"/>
    <n v="6.4"/>
  </r>
  <r>
    <x v="668"/>
    <x v="2"/>
    <s v="Yangon"/>
    <x v="0"/>
    <s v="Female"/>
    <x v="4"/>
    <n v="81.73"/>
    <n v="5"/>
    <n v="20.43"/>
    <n v="429.08"/>
    <x v="6"/>
    <s v="17:40"/>
    <x v="1"/>
    <n v="408.65"/>
    <n v="4.7618999999999998"/>
    <n v="20.43"/>
    <n v="6.5"/>
  </r>
  <r>
    <x v="669"/>
    <x v="2"/>
    <s v="Yangon"/>
    <x v="0"/>
    <s v="Male"/>
    <x v="4"/>
    <n v="12.62"/>
    <n v="5"/>
    <n v="3.16"/>
    <n v="66.260000000000005"/>
    <x v="13"/>
    <s v="18:10"/>
    <x v="0"/>
    <n v="63.1"/>
    <n v="4.7618999999999998"/>
    <n v="3.16"/>
    <n v="9.1"/>
  </r>
  <r>
    <x v="670"/>
    <x v="1"/>
    <s v="Mandalay"/>
    <x v="0"/>
    <s v="Female"/>
    <x v="1"/>
    <n v="38.25"/>
    <n v="5"/>
    <n v="9.56"/>
    <n v="200.81"/>
    <x v="36"/>
    <s v="16:25"/>
    <x v="0"/>
    <n v="191.25"/>
    <n v="4.7618999999999998"/>
    <n v="9.56"/>
    <n v="7.9"/>
  </r>
  <r>
    <x v="671"/>
    <x v="1"/>
    <s v="Mandalay"/>
    <x v="0"/>
    <s v="Female"/>
    <x v="1"/>
    <n v="61.39"/>
    <n v="9"/>
    <n v="27.63"/>
    <n v="580.14"/>
    <x v="41"/>
    <s v="18:50"/>
    <x v="0"/>
    <n v="552.51"/>
    <n v="4.7618999999999998"/>
    <n v="27.63"/>
    <n v="9.6999999999999993"/>
  </r>
  <r>
    <x v="672"/>
    <x v="1"/>
    <s v="Mandalay"/>
    <x v="1"/>
    <s v="Female"/>
    <x v="4"/>
    <n v="63.98"/>
    <n v="6"/>
    <n v="19.190000000000001"/>
    <n v="403.07"/>
    <x v="51"/>
    <s v="19:55"/>
    <x v="1"/>
    <n v="383.88"/>
    <n v="4.7618999999999998"/>
    <n v="19.190000000000001"/>
    <n v="8.8000000000000007"/>
  </r>
  <r>
    <x v="673"/>
    <x v="2"/>
    <s v="Yangon"/>
    <x v="1"/>
    <s v="Female"/>
    <x v="4"/>
    <n v="19.61"/>
    <n v="4"/>
    <n v="3.92"/>
    <n v="82.36"/>
    <x v="31"/>
    <s v="17:30"/>
    <x v="1"/>
    <n v="78.44"/>
    <n v="4.7618999999999998"/>
    <n v="3.92"/>
    <n v="9.1999999999999993"/>
  </r>
  <r>
    <x v="674"/>
    <x v="1"/>
    <s v="Mandalay"/>
    <x v="1"/>
    <s v="Female"/>
    <x v="5"/>
    <n v="59.12"/>
    <n v="8"/>
    <n v="23.65"/>
    <n v="496.61"/>
    <x v="65"/>
    <s v="13:20"/>
    <x v="2"/>
    <n v="472.96"/>
    <n v="4.7618999999999998"/>
    <n v="23.65"/>
    <n v="6.2"/>
  </r>
  <r>
    <x v="675"/>
    <x v="1"/>
    <s v="Mandalay"/>
    <x v="1"/>
    <s v="Female"/>
    <x v="0"/>
    <n v="97.01"/>
    <n v="10"/>
    <n v="48.51"/>
    <n v="1018.61"/>
    <x v="52"/>
    <s v="20:00"/>
    <x v="0"/>
    <n v="970.1"/>
    <n v="4.7618999999999998"/>
    <n v="48.51"/>
    <n v="9.5"/>
  </r>
  <r>
    <x v="676"/>
    <x v="2"/>
    <s v="Yangon"/>
    <x v="1"/>
    <s v="Male"/>
    <x v="5"/>
    <n v="67.510000000000005"/>
    <n v="6"/>
    <n v="20.25"/>
    <n v="425.31"/>
    <x v="65"/>
    <s v="11:40"/>
    <x v="2"/>
    <n v="405.06"/>
    <n v="4.7618999999999998"/>
    <n v="20.25"/>
    <n v="9.1"/>
  </r>
  <r>
    <x v="677"/>
    <x v="2"/>
    <s v="Yangon"/>
    <x v="1"/>
    <s v="Male"/>
    <x v="5"/>
    <n v="18.12"/>
    <n v="4"/>
    <n v="3.62"/>
    <n v="76.099999999999994"/>
    <x v="24"/>
    <s v="13:10"/>
    <x v="1"/>
    <n v="72.48"/>
    <n v="4.7618999999999998"/>
    <n v="3.62"/>
    <n v="7.8"/>
  </r>
  <r>
    <x v="678"/>
    <x v="0"/>
    <s v="Naypyitaw"/>
    <x v="1"/>
    <s v="Female"/>
    <x v="5"/>
    <n v="87.98"/>
    <n v="8"/>
    <n v="35.19"/>
    <n v="739.03"/>
    <x v="50"/>
    <s v="16:25"/>
    <x v="0"/>
    <n v="703.84"/>
    <n v="4.7618999999999998"/>
    <n v="35.19"/>
    <n v="6.5"/>
  </r>
  <r>
    <x v="679"/>
    <x v="2"/>
    <s v="Yangon"/>
    <x v="0"/>
    <s v="Male"/>
    <x v="3"/>
    <n v="15.97"/>
    <n v="7"/>
    <n v="5.59"/>
    <n v="117.38"/>
    <x v="3"/>
    <s v="18:55"/>
    <x v="1"/>
    <n v="111.79"/>
    <n v="4.7618999999999998"/>
    <n v="5.59"/>
    <n v="6.7"/>
  </r>
  <r>
    <x v="680"/>
    <x v="2"/>
    <s v="Yangon"/>
    <x v="0"/>
    <s v="Male"/>
    <x v="0"/>
    <n v="22.25"/>
    <n v="7"/>
    <n v="7.79"/>
    <n v="163.54"/>
    <x v="30"/>
    <s v="20:20"/>
    <x v="1"/>
    <n v="155.75"/>
    <n v="4.7618999999999998"/>
    <n v="7.79"/>
    <n v="7.5"/>
  </r>
  <r>
    <x v="681"/>
    <x v="2"/>
    <s v="Yangon"/>
    <x v="0"/>
    <s v="Female"/>
    <x v="3"/>
    <n v="71.72"/>
    <n v="6"/>
    <n v="21.52"/>
    <n v="451.84"/>
    <x v="68"/>
    <s v="17:55"/>
    <x v="2"/>
    <n v="430.32"/>
    <n v="4.7618999999999998"/>
    <n v="21.52"/>
    <n v="5.6"/>
  </r>
  <r>
    <x v="682"/>
    <x v="0"/>
    <s v="Naypyitaw"/>
    <x v="1"/>
    <s v="Male"/>
    <x v="4"/>
    <n v="17.600000000000001"/>
    <n v="6"/>
    <n v="5.28"/>
    <n v="110.88"/>
    <x v="18"/>
    <s v="16:30"/>
    <x v="0"/>
    <n v="105.6"/>
    <n v="4.7618999999999998"/>
    <n v="5.28"/>
    <n v="5.3"/>
  </r>
  <r>
    <x v="683"/>
    <x v="0"/>
    <s v="Naypyitaw"/>
    <x v="0"/>
    <s v="Female"/>
    <x v="2"/>
    <n v="27.84"/>
    <n v="3"/>
    <n v="4.18"/>
    <n v="87.7"/>
    <x v="73"/>
    <s v="16:45"/>
    <x v="1"/>
    <n v="83.52"/>
    <n v="4.7618999999999998"/>
    <n v="4.18"/>
    <n v="7.6"/>
  </r>
  <r>
    <x v="684"/>
    <x v="2"/>
    <s v="Yangon"/>
    <x v="1"/>
    <s v="Female"/>
    <x v="3"/>
    <n v="20.56"/>
    <n v="9"/>
    <n v="9.25"/>
    <n v="194.29"/>
    <x v="11"/>
    <s v="17:50"/>
    <x v="1"/>
    <n v="185.04"/>
    <n v="4.7618999999999998"/>
    <n v="9.25"/>
    <n v="4.7"/>
  </r>
  <r>
    <x v="685"/>
    <x v="2"/>
    <s v="Yangon"/>
    <x v="0"/>
    <s v="Male"/>
    <x v="5"/>
    <n v="77.180000000000007"/>
    <n v="7"/>
    <n v="27.01"/>
    <n v="567.27"/>
    <x v="27"/>
    <s v="16:15"/>
    <x v="0"/>
    <n v="540.26"/>
    <n v="4.7618999999999998"/>
    <n v="27.01"/>
    <n v="5.3"/>
  </r>
  <r>
    <x v="686"/>
    <x v="1"/>
    <s v="Mandalay"/>
    <x v="0"/>
    <s v="Male"/>
    <x v="4"/>
    <n v="46.77"/>
    <n v="3"/>
    <n v="7.02"/>
    <n v="147.33000000000001"/>
    <x v="49"/>
    <s v="14:20"/>
    <x v="2"/>
    <n v="140.31"/>
    <n v="4.7618999999999998"/>
    <n v="7.02"/>
    <n v="7.7"/>
  </r>
  <r>
    <x v="687"/>
    <x v="1"/>
    <s v="Mandalay"/>
    <x v="1"/>
    <s v="Female"/>
    <x v="1"/>
    <n v="52.2"/>
    <n v="6"/>
    <n v="15.66"/>
    <n v="328.86"/>
    <x v="81"/>
    <s v="16:50"/>
    <x v="2"/>
    <n v="313.2"/>
    <n v="4.7618999999999998"/>
    <n v="15.66"/>
    <n v="8.3000000000000007"/>
  </r>
  <r>
    <x v="688"/>
    <x v="1"/>
    <s v="Mandalay"/>
    <x v="1"/>
    <s v="Female"/>
    <x v="1"/>
    <n v="60.13"/>
    <n v="1"/>
    <n v="3.01"/>
    <n v="63.14"/>
    <x v="51"/>
    <s v="13:35"/>
    <x v="1"/>
    <n v="60.13"/>
    <n v="4.7618999999999998"/>
    <n v="3.01"/>
    <n v="10"/>
  </r>
  <r>
    <x v="689"/>
    <x v="0"/>
    <s v="Naypyitaw"/>
    <x v="0"/>
    <s v="Female"/>
    <x v="5"/>
    <n v="55.41"/>
    <n v="7"/>
    <n v="19.39"/>
    <n v="407.26"/>
    <x v="24"/>
    <s v="16:50"/>
    <x v="1"/>
    <n v="387.87"/>
    <n v="4.7618999999999998"/>
    <n v="19.39"/>
    <n v="4.8"/>
  </r>
  <r>
    <x v="690"/>
    <x v="2"/>
    <s v="Yangon"/>
    <x v="0"/>
    <s v="Male"/>
    <x v="4"/>
    <n v="55.34"/>
    <n v="6"/>
    <n v="16.600000000000001"/>
    <n v="348.64"/>
    <x v="6"/>
    <s v="12:05"/>
    <x v="1"/>
    <n v="332.04"/>
    <n v="4.7618999999999998"/>
    <n v="16.600000000000001"/>
    <n v="8.3000000000000007"/>
  </r>
  <r>
    <x v="691"/>
    <x v="2"/>
    <s v="Yangon"/>
    <x v="1"/>
    <s v="Female"/>
    <x v="5"/>
    <n v="13.97"/>
    <n v="3"/>
    <n v="2.1"/>
    <n v="44.01"/>
    <x v="85"/>
    <s v="14:55"/>
    <x v="1"/>
    <n v="41.91"/>
    <n v="4.7618999999999998"/>
    <n v="2.1"/>
    <n v="9.6"/>
  </r>
  <r>
    <x v="692"/>
    <x v="1"/>
    <s v="Mandalay"/>
    <x v="1"/>
    <s v="Male"/>
    <x v="2"/>
    <n v="90.34"/>
    <n v="6"/>
    <n v="27.1"/>
    <n v="569.14"/>
    <x v="44"/>
    <s v="12:40"/>
    <x v="0"/>
    <n v="542.04"/>
    <n v="4.7618999999999998"/>
    <n v="27.1"/>
    <n v="7.8"/>
  </r>
  <r>
    <x v="693"/>
    <x v="2"/>
    <s v="Yangon"/>
    <x v="0"/>
    <s v="Female"/>
    <x v="1"/>
    <n v="30.69"/>
    <n v="1"/>
    <n v="1.53"/>
    <n v="32.22"/>
    <x v="50"/>
    <s v="14:10"/>
    <x v="0"/>
    <n v="30.69"/>
    <n v="4.7618999999999998"/>
    <n v="1.53"/>
    <n v="6.8"/>
  </r>
  <r>
    <x v="694"/>
    <x v="1"/>
    <s v="Mandalay"/>
    <x v="0"/>
    <s v="Male"/>
    <x v="5"/>
    <n v="98.99"/>
    <n v="9"/>
    <n v="44.55"/>
    <n v="935.46"/>
    <x v="44"/>
    <s v="17:35"/>
    <x v="2"/>
    <n v="890.91"/>
    <n v="4.7618999999999998"/>
    <n v="44.55"/>
    <n v="9.1"/>
  </r>
  <r>
    <x v="695"/>
    <x v="2"/>
    <s v="Yangon"/>
    <x v="0"/>
    <s v="Male"/>
    <x v="1"/>
    <n v="28.34"/>
    <n v="5"/>
    <n v="7.08"/>
    <n v="148.78"/>
    <x v="18"/>
    <s v="12:55"/>
    <x v="0"/>
    <n v="141.69999999999999"/>
    <n v="4.7618999999999998"/>
    <n v="7.08"/>
    <n v="8.9"/>
  </r>
  <r>
    <x v="696"/>
    <x v="0"/>
    <s v="Naypyitaw"/>
    <x v="0"/>
    <s v="Female"/>
    <x v="3"/>
    <n v="79.02"/>
    <n v="3"/>
    <n v="11.85"/>
    <n v="248.91"/>
    <x v="74"/>
    <s v="11:15"/>
    <x v="1"/>
    <n v="237.06"/>
    <n v="4.7618999999999998"/>
    <n v="11.85"/>
    <n v="8.1"/>
  </r>
  <r>
    <x v="697"/>
    <x v="2"/>
    <s v="Yangon"/>
    <x v="1"/>
    <s v="Female"/>
    <x v="2"/>
    <n v="43.62"/>
    <n v="2"/>
    <n v="4.3600000000000003"/>
    <n v="91.6"/>
    <x v="59"/>
    <s v="12:00"/>
    <x v="2"/>
    <n v="87.24"/>
    <n v="4.7618999999999998"/>
    <n v="4.3600000000000003"/>
    <n v="6.8"/>
  </r>
  <r>
    <x v="698"/>
    <x v="0"/>
    <s v="Naypyitaw"/>
    <x v="1"/>
    <s v="Male"/>
    <x v="0"/>
    <n v="95.97"/>
    <n v="10"/>
    <n v="47.99"/>
    <n v="1007.69"/>
    <x v="13"/>
    <s v="10:25"/>
    <x v="2"/>
    <n v="959.7"/>
    <n v="4.7618999999999998"/>
    <n v="47.99"/>
    <n v="7.9"/>
  </r>
  <r>
    <x v="699"/>
    <x v="1"/>
    <s v="Mandalay"/>
    <x v="0"/>
    <s v="Female"/>
    <x v="1"/>
    <n v="82.14"/>
    <n v="5"/>
    <n v="20.54"/>
    <n v="431.24"/>
    <x v="59"/>
    <s v="10:55"/>
    <x v="2"/>
    <n v="410.7"/>
    <n v="4.7618999999999998"/>
    <n v="20.54"/>
    <n v="7.3"/>
  </r>
  <r>
    <x v="700"/>
    <x v="1"/>
    <s v="Mandalay"/>
    <x v="0"/>
    <s v="Male"/>
    <x v="5"/>
    <n v="26.02"/>
    <n v="7"/>
    <n v="9.11"/>
    <n v="191.25"/>
    <x v="19"/>
    <s v="10:15"/>
    <x v="2"/>
    <n v="182.14"/>
    <n v="4.7618999999999998"/>
    <n v="9.11"/>
    <n v="6.3"/>
  </r>
  <r>
    <x v="701"/>
    <x v="1"/>
    <s v="Mandalay"/>
    <x v="0"/>
    <s v="Female"/>
    <x v="5"/>
    <n v="54.18"/>
    <n v="7"/>
    <n v="18.96"/>
    <n v="398.22"/>
    <x v="12"/>
    <s v="20:45"/>
    <x v="2"/>
    <n v="379.26"/>
    <n v="4.7618999999999998"/>
    <n v="18.96"/>
    <n v="6.2"/>
  </r>
  <r>
    <x v="702"/>
    <x v="1"/>
    <s v="Mandalay"/>
    <x v="0"/>
    <s v="Male"/>
    <x v="2"/>
    <n v="89.69"/>
    <n v="8"/>
    <n v="35.880000000000003"/>
    <n v="753.4"/>
    <x v="48"/>
    <s v="19:45"/>
    <x v="1"/>
    <n v="717.52"/>
    <n v="4.7618999999999998"/>
    <n v="35.880000000000003"/>
    <n v="4.5"/>
  </r>
  <r>
    <x v="703"/>
    <x v="1"/>
    <s v="Mandalay"/>
    <x v="0"/>
    <s v="Male"/>
    <x v="0"/>
    <n v="48.34"/>
    <n v="1"/>
    <n v="2.42"/>
    <n v="50.76"/>
    <x v="9"/>
    <s v="15:35"/>
    <x v="0"/>
    <n v="48.34"/>
    <n v="4.7618999999999998"/>
    <n v="2.42"/>
    <n v="5.3"/>
  </r>
  <r>
    <x v="704"/>
    <x v="0"/>
    <s v="Naypyitaw"/>
    <x v="0"/>
    <s v="Male"/>
    <x v="3"/>
    <n v="66.66"/>
    <n v="9"/>
    <n v="30"/>
    <n v="629.94000000000005"/>
    <x v="22"/>
    <s v="14:35"/>
    <x v="1"/>
    <n v="599.94000000000005"/>
    <n v="4.7618999999999998"/>
    <n v="30"/>
    <n v="4.5"/>
  </r>
  <r>
    <x v="705"/>
    <x v="1"/>
    <s v="Mandalay"/>
    <x v="1"/>
    <s v="Female"/>
    <x v="4"/>
    <n v="71.59"/>
    <n v="5"/>
    <n v="17.899999999999999"/>
    <n v="375.85"/>
    <x v="40"/>
    <s v="18:30"/>
    <x v="1"/>
    <n v="357.95"/>
    <n v="4.7618999999999998"/>
    <n v="17.899999999999999"/>
    <n v="7.4"/>
  </r>
  <r>
    <x v="706"/>
    <x v="2"/>
    <s v="Yangon"/>
    <x v="0"/>
    <s v="Female"/>
    <x v="3"/>
    <n v="48.24"/>
    <n v="2"/>
    <n v="4.82"/>
    <n v="101.3"/>
    <x v="6"/>
    <s v="20:55"/>
    <x v="0"/>
    <n v="96.48"/>
    <n v="4.7618999999999998"/>
    <n v="4.82"/>
    <n v="8.9"/>
  </r>
  <r>
    <x v="707"/>
    <x v="1"/>
    <s v="Mandalay"/>
    <x v="0"/>
    <s v="Female"/>
    <x v="1"/>
    <n v="76.650000000000006"/>
    <n v="8"/>
    <n v="30.66"/>
    <n v="643.86"/>
    <x v="32"/>
    <s v="12:30"/>
    <x v="2"/>
    <n v="613.20000000000005"/>
    <n v="4.7618999999999998"/>
    <n v="30.66"/>
    <n v="4.5"/>
  </r>
  <r>
    <x v="708"/>
    <x v="0"/>
    <s v="Naypyitaw"/>
    <x v="1"/>
    <s v="Male"/>
    <x v="3"/>
    <n v="75.17"/>
    <n v="8"/>
    <n v="30.07"/>
    <n v="631.42999999999995"/>
    <x v="34"/>
    <s v="14:25"/>
    <x v="2"/>
    <n v="601.36"/>
    <n v="4.7618999999999998"/>
    <n v="30.07"/>
    <n v="5.3"/>
  </r>
  <r>
    <x v="709"/>
    <x v="0"/>
    <s v="Naypyitaw"/>
    <x v="1"/>
    <s v="Female"/>
    <x v="2"/>
    <n v="58.09"/>
    <n v="1"/>
    <n v="2.9"/>
    <n v="60.99"/>
    <x v="87"/>
    <s v="11:00"/>
    <x v="2"/>
    <n v="58.09"/>
    <n v="4.7618999999999998"/>
    <n v="2.9"/>
    <n v="7.9"/>
  </r>
  <r>
    <x v="710"/>
    <x v="0"/>
    <s v="Naypyitaw"/>
    <x v="1"/>
    <s v="Male"/>
    <x v="5"/>
    <n v="65.66"/>
    <n v="10"/>
    <n v="32.83"/>
    <n v="689.43"/>
    <x v="53"/>
    <s v="20:55"/>
    <x v="0"/>
    <n v="656.6"/>
    <n v="4.7618999999999998"/>
    <n v="32.83"/>
    <n v="6.4"/>
  </r>
  <r>
    <x v="711"/>
    <x v="2"/>
    <s v="Yangon"/>
    <x v="0"/>
    <s v="Female"/>
    <x v="1"/>
    <n v="27.17"/>
    <n v="1"/>
    <n v="1.36"/>
    <n v="28.53"/>
    <x v="16"/>
    <s v="10:15"/>
    <x v="1"/>
    <n v="27.17"/>
    <n v="4.7618999999999998"/>
    <n v="1.36"/>
    <n v="7.9"/>
  </r>
  <r>
    <x v="712"/>
    <x v="2"/>
    <s v="Yangon"/>
    <x v="1"/>
    <s v="Female"/>
    <x v="1"/>
    <n v="37.08"/>
    <n v="8"/>
    <n v="14.83"/>
    <n v="311.47000000000003"/>
    <x v="8"/>
    <s v="17:30"/>
    <x v="2"/>
    <n v="296.64"/>
    <n v="4.7618999999999998"/>
    <n v="14.83"/>
    <n v="4.7"/>
  </r>
  <r>
    <x v="713"/>
    <x v="0"/>
    <s v="Naypyitaw"/>
    <x v="1"/>
    <s v="Male"/>
    <x v="2"/>
    <n v="11.77"/>
    <n v="8"/>
    <n v="4.71"/>
    <n v="98.87"/>
    <x v="21"/>
    <s v="13:15"/>
    <x v="1"/>
    <n v="94.16"/>
    <n v="4.7618999999999998"/>
    <n v="4.71"/>
    <n v="7.4"/>
  </r>
  <r>
    <x v="714"/>
    <x v="1"/>
    <s v="Mandalay"/>
    <x v="0"/>
    <s v="Male"/>
    <x v="1"/>
    <n v="19.239999999999998"/>
    <n v="7"/>
    <n v="6.73"/>
    <n v="141.41"/>
    <x v="74"/>
    <s v="17:55"/>
    <x v="0"/>
    <n v="134.68"/>
    <n v="4.7618999999999998"/>
    <n v="6.73"/>
    <n v="7.6"/>
  </r>
  <r>
    <x v="715"/>
    <x v="1"/>
    <s v="Mandalay"/>
    <x v="0"/>
    <s v="Male"/>
    <x v="2"/>
    <n v="53.75"/>
    <n v="10"/>
    <n v="26.88"/>
    <n v="564.38"/>
    <x v="43"/>
    <s v="20:35"/>
    <x v="2"/>
    <n v="537.5"/>
    <n v="4.7618999999999998"/>
    <n v="26.88"/>
    <n v="8.3000000000000007"/>
  </r>
  <r>
    <x v="716"/>
    <x v="2"/>
    <s v="Yangon"/>
    <x v="1"/>
    <s v="Male"/>
    <x v="3"/>
    <n v="15.72"/>
    <n v="7"/>
    <n v="5.5"/>
    <n v="115.54"/>
    <x v="50"/>
    <s v="11:35"/>
    <x v="0"/>
    <n v="110.04"/>
    <n v="4.7618999999999998"/>
    <n v="5.5"/>
    <n v="9.6"/>
  </r>
  <r>
    <x v="717"/>
    <x v="1"/>
    <s v="Mandalay"/>
    <x v="1"/>
    <s v="Female"/>
    <x v="4"/>
    <n v="35.92"/>
    <n v="4"/>
    <n v="7.18"/>
    <n v="150.86000000000001"/>
    <x v="50"/>
    <s v="15:35"/>
    <x v="2"/>
    <n v="143.68"/>
    <n v="4.7618999999999998"/>
    <n v="7.18"/>
    <n v="7"/>
  </r>
  <r>
    <x v="718"/>
    <x v="0"/>
    <s v="Naypyitaw"/>
    <x v="1"/>
    <s v="Male"/>
    <x v="4"/>
    <n v="89.49"/>
    <n v="7"/>
    <n v="31.32"/>
    <n v="657.75"/>
    <x v="74"/>
    <s v="20:50"/>
    <x v="0"/>
    <n v="626.42999999999995"/>
    <n v="4.7618999999999998"/>
    <n v="31.32"/>
    <n v="6.2"/>
  </r>
  <r>
    <x v="719"/>
    <x v="2"/>
    <s v="Yangon"/>
    <x v="0"/>
    <s v="Male"/>
    <x v="0"/>
    <n v="77.430000000000007"/>
    <n v="8"/>
    <n v="30.97"/>
    <n v="650.41"/>
    <x v="27"/>
    <s v="12:15"/>
    <x v="2"/>
    <n v="619.44000000000005"/>
    <n v="4.7618999999999998"/>
    <n v="30.97"/>
    <n v="7.6"/>
  </r>
  <r>
    <x v="720"/>
    <x v="1"/>
    <s v="Mandalay"/>
    <x v="1"/>
    <s v="Male"/>
    <x v="4"/>
    <n v="28.85"/>
    <n v="1"/>
    <n v="1.44"/>
    <n v="30.29"/>
    <x v="37"/>
    <s v="15:20"/>
    <x v="1"/>
    <n v="28.85"/>
    <n v="4.7618999999999998"/>
    <n v="1.44"/>
    <n v="8.1"/>
  </r>
  <r>
    <x v="721"/>
    <x v="0"/>
    <s v="Naypyitaw"/>
    <x v="0"/>
    <s v="Female"/>
    <x v="5"/>
    <n v="48.76"/>
    <n v="10"/>
    <n v="24.38"/>
    <n v="511.98"/>
    <x v="57"/>
    <s v="11:40"/>
    <x v="2"/>
    <n v="487.6"/>
    <n v="4.7618999999999998"/>
    <n v="24.38"/>
    <n v="6.9"/>
  </r>
  <r>
    <x v="722"/>
    <x v="1"/>
    <s v="Mandalay"/>
    <x v="0"/>
    <s v="Male"/>
    <x v="4"/>
    <n v="86.81"/>
    <n v="9"/>
    <n v="39.06"/>
    <n v="820.35"/>
    <x v="3"/>
    <s v="20:05"/>
    <x v="0"/>
    <n v="781.29"/>
    <n v="4.7618999999999998"/>
    <n v="39.06"/>
    <n v="4.3"/>
  </r>
  <r>
    <x v="723"/>
    <x v="1"/>
    <s v="Mandalay"/>
    <x v="0"/>
    <s v="Female"/>
    <x v="3"/>
    <n v="64.87"/>
    <n v="2"/>
    <n v="6.49"/>
    <n v="136.22999999999999"/>
    <x v="26"/>
    <s v="10:40"/>
    <x v="2"/>
    <n v="129.74"/>
    <n v="4.7618999999999998"/>
    <n v="6.49"/>
    <n v="5"/>
  </r>
  <r>
    <x v="724"/>
    <x v="2"/>
    <s v="Yangon"/>
    <x v="1"/>
    <s v="Female"/>
    <x v="0"/>
    <n v="36.29"/>
    <n v="8"/>
    <n v="14.52"/>
    <n v="304.83999999999997"/>
    <x v="1"/>
    <s v="17:55"/>
    <x v="2"/>
    <n v="290.32"/>
    <n v="4.7618999999999998"/>
    <n v="14.52"/>
    <n v="4.9000000000000004"/>
  </r>
  <r>
    <x v="725"/>
    <x v="1"/>
    <s v="Mandalay"/>
    <x v="0"/>
    <s v="Female"/>
    <x v="4"/>
    <n v="49.52"/>
    <n v="7"/>
    <n v="17.329999999999998"/>
    <n v="363.97"/>
    <x v="78"/>
    <s v="13:35"/>
    <x v="1"/>
    <n v="346.64"/>
    <n v="4.7618999999999998"/>
    <n v="17.329999999999998"/>
    <n v="5.7"/>
  </r>
  <r>
    <x v="726"/>
    <x v="2"/>
    <s v="Yangon"/>
    <x v="1"/>
    <s v="Male"/>
    <x v="0"/>
    <n v="77.94"/>
    <n v="6"/>
    <n v="23.38"/>
    <n v="491.02"/>
    <x v="58"/>
    <s v="20:15"/>
    <x v="2"/>
    <n v="467.64"/>
    <n v="4.7618999999999998"/>
    <n v="23.38"/>
    <n v="8.5"/>
  </r>
  <r>
    <x v="727"/>
    <x v="1"/>
    <s v="Mandalay"/>
    <x v="0"/>
    <s v="Female"/>
    <x v="2"/>
    <n v="47.21"/>
    <n v="7"/>
    <n v="16.52"/>
    <n v="346.99"/>
    <x v="45"/>
    <s v="18:50"/>
    <x v="1"/>
    <n v="330.47"/>
    <n v="4.7618999999999998"/>
    <n v="16.52"/>
    <n v="9.6999999999999993"/>
  </r>
  <r>
    <x v="728"/>
    <x v="2"/>
    <s v="Yangon"/>
    <x v="0"/>
    <s v="Female"/>
    <x v="1"/>
    <n v="40.450000000000003"/>
    <n v="7"/>
    <n v="14.16"/>
    <n v="297.31"/>
    <x v="38"/>
    <s v="16:00"/>
    <x v="1"/>
    <n v="283.14999999999998"/>
    <n v="4.7618999999999998"/>
    <n v="14.16"/>
    <n v="8.6"/>
  </r>
  <r>
    <x v="729"/>
    <x v="0"/>
    <s v="Naypyitaw"/>
    <x v="0"/>
    <s v="Female"/>
    <x v="0"/>
    <n v="98.2"/>
    <n v="9"/>
    <n v="44.19"/>
    <n v="927.99"/>
    <x v="60"/>
    <s v="16:30"/>
    <x v="0"/>
    <n v="883.8"/>
    <n v="4.7618999999999998"/>
    <n v="44.19"/>
    <n v="8.1999999999999993"/>
  </r>
  <r>
    <x v="730"/>
    <x v="1"/>
    <s v="Mandalay"/>
    <x v="1"/>
    <s v="Male"/>
    <x v="1"/>
    <n v="84.43"/>
    <n v="9"/>
    <n v="37.99"/>
    <n v="797.86"/>
    <x v="43"/>
    <s v="12:55"/>
    <x v="1"/>
    <n v="759.87"/>
    <n v="4.7618999999999998"/>
    <n v="37.99"/>
    <n v="6.7"/>
  </r>
  <r>
    <x v="731"/>
    <x v="0"/>
    <s v="Naypyitaw"/>
    <x v="1"/>
    <s v="Male"/>
    <x v="0"/>
    <n v="46.41"/>
    <n v="4"/>
    <n v="9.2799999999999994"/>
    <n v="194.92"/>
    <x v="24"/>
    <s v="11:00"/>
    <x v="0"/>
    <n v="185.64"/>
    <n v="4.7618999999999998"/>
    <n v="9.2799999999999994"/>
    <n v="6"/>
  </r>
  <r>
    <x v="732"/>
    <x v="0"/>
    <s v="Naypyitaw"/>
    <x v="0"/>
    <s v="Male"/>
    <x v="4"/>
    <n v="18.350000000000001"/>
    <n v="9"/>
    <n v="8.26"/>
    <n v="173.41"/>
    <x v="12"/>
    <s v="18:25"/>
    <x v="0"/>
    <n v="165.15"/>
    <n v="4.7618999999999998"/>
    <n v="8.26"/>
    <n v="5"/>
  </r>
  <r>
    <x v="733"/>
    <x v="0"/>
    <s v="Naypyitaw"/>
    <x v="1"/>
    <s v="Female"/>
    <x v="5"/>
    <n v="75.39"/>
    <n v="9"/>
    <n v="33.93"/>
    <n v="712.44"/>
    <x v="46"/>
    <s v="10:25"/>
    <x v="1"/>
    <n v="678.51"/>
    <n v="4.7618999999999998"/>
    <n v="33.93"/>
    <n v="7.8"/>
  </r>
  <r>
    <x v="734"/>
    <x v="2"/>
    <s v="Yangon"/>
    <x v="0"/>
    <s v="Female"/>
    <x v="2"/>
    <n v="36.82"/>
    <n v="1"/>
    <n v="1.84"/>
    <n v="38.659999999999997"/>
    <x v="45"/>
    <s v="15:15"/>
    <x v="0"/>
    <n v="36.82"/>
    <n v="4.7618999999999998"/>
    <n v="1.84"/>
    <n v="9.9"/>
  </r>
  <r>
    <x v="735"/>
    <x v="0"/>
    <s v="Naypyitaw"/>
    <x v="0"/>
    <s v="Male"/>
    <x v="5"/>
    <n v="35.61"/>
    <n v="10"/>
    <n v="17.809999999999999"/>
    <n v="373.91"/>
    <x v="61"/>
    <s v="12:55"/>
    <x v="1"/>
    <n v="356.1"/>
    <n v="4.7618999999999998"/>
    <n v="17.809999999999999"/>
    <n v="7.1"/>
  </r>
  <r>
    <x v="736"/>
    <x v="2"/>
    <s v="Yangon"/>
    <x v="1"/>
    <s v="Female"/>
    <x v="5"/>
    <n v="50.89"/>
    <n v="3"/>
    <n v="7.63"/>
    <n v="160.30000000000001"/>
    <x v="84"/>
    <s v="16:05"/>
    <x v="2"/>
    <n v="152.66999999999999"/>
    <n v="4.7618999999999998"/>
    <n v="7.63"/>
    <n v="4.4000000000000004"/>
  </r>
  <r>
    <x v="737"/>
    <x v="1"/>
    <s v="Mandalay"/>
    <x v="0"/>
    <s v="Male"/>
    <x v="1"/>
    <n v="43.24"/>
    <n v="9"/>
    <n v="19.46"/>
    <n v="408.62"/>
    <x v="7"/>
    <s v="19:40"/>
    <x v="0"/>
    <n v="389.16"/>
    <n v="4.7618999999999998"/>
    <n v="19.46"/>
    <n v="8.6999999999999993"/>
  </r>
  <r>
    <x v="738"/>
    <x v="1"/>
    <s v="Mandalay"/>
    <x v="1"/>
    <s v="Male"/>
    <x v="2"/>
    <n v="72.010000000000005"/>
    <n v="8"/>
    <n v="28.8"/>
    <n v="604.88"/>
    <x v="74"/>
    <s v="12:10"/>
    <x v="0"/>
    <n v="576.08000000000004"/>
    <n v="4.7618999999999998"/>
    <n v="28.8"/>
    <n v="4.8"/>
  </r>
  <r>
    <x v="739"/>
    <x v="1"/>
    <s v="Mandalay"/>
    <x v="0"/>
    <s v="Female"/>
    <x v="0"/>
    <n v="29.14"/>
    <n v="8"/>
    <n v="11.66"/>
    <n v="244.78"/>
    <x v="52"/>
    <s v="12:40"/>
    <x v="1"/>
    <n v="233.12"/>
    <n v="4.7618999999999998"/>
    <n v="11.66"/>
    <n v="9.5"/>
  </r>
  <r>
    <x v="740"/>
    <x v="0"/>
    <s v="Naypyitaw"/>
    <x v="1"/>
    <s v="Female"/>
    <x v="1"/>
    <n v="43.26"/>
    <n v="5"/>
    <n v="10.82"/>
    <n v="227.12"/>
    <x v="55"/>
    <s v="18:10"/>
    <x v="2"/>
    <n v="216.3"/>
    <n v="4.7618999999999998"/>
    <n v="10.82"/>
    <n v="6.2"/>
  </r>
  <r>
    <x v="741"/>
    <x v="1"/>
    <s v="Mandalay"/>
    <x v="1"/>
    <s v="Male"/>
    <x v="1"/>
    <n v="81.209999999999994"/>
    <n v="3"/>
    <n v="12.18"/>
    <n v="255.81"/>
    <x v="14"/>
    <s v="16:00"/>
    <x v="1"/>
    <n v="243.63"/>
    <n v="4.7618999999999998"/>
    <n v="12.18"/>
    <n v="9.3000000000000007"/>
  </r>
  <r>
    <x v="742"/>
    <x v="2"/>
    <s v="Yangon"/>
    <x v="1"/>
    <s v="Female"/>
    <x v="1"/>
    <n v="59.28"/>
    <n v="2"/>
    <n v="5.93"/>
    <n v="124.49"/>
    <x v="55"/>
    <s v="16:35"/>
    <x v="0"/>
    <n v="118.56"/>
    <n v="4.7618999999999998"/>
    <n v="5.93"/>
    <n v="5.9"/>
  </r>
  <r>
    <x v="743"/>
    <x v="1"/>
    <s v="Mandalay"/>
    <x v="1"/>
    <s v="Male"/>
    <x v="0"/>
    <n v="85.03"/>
    <n v="3"/>
    <n v="12.75"/>
    <n v="267.83999999999997"/>
    <x v="0"/>
    <s v="18:50"/>
    <x v="1"/>
    <n v="255.09"/>
    <n v="4.7618999999999998"/>
    <n v="12.75"/>
    <n v="8.6"/>
  </r>
  <r>
    <x v="744"/>
    <x v="1"/>
    <s v="Mandalay"/>
    <x v="0"/>
    <s v="Male"/>
    <x v="1"/>
    <n v="81.98"/>
    <n v="10"/>
    <n v="40.99"/>
    <n v="860.79"/>
    <x v="29"/>
    <s v="16:15"/>
    <x v="1"/>
    <n v="819.8"/>
    <n v="4.7618999999999998"/>
    <n v="40.99"/>
    <n v="6"/>
  </r>
  <r>
    <x v="745"/>
    <x v="0"/>
    <s v="Naypyitaw"/>
    <x v="1"/>
    <s v="Male"/>
    <x v="0"/>
    <n v="17.97"/>
    <n v="3"/>
    <n v="2.7"/>
    <n v="56.61"/>
    <x v="49"/>
    <s v="19:50"/>
    <x v="0"/>
    <n v="53.91"/>
    <n v="4.7618999999999998"/>
    <n v="2.7"/>
    <n v="5.9"/>
  </r>
  <r>
    <x v="746"/>
    <x v="2"/>
    <s v="Yangon"/>
    <x v="0"/>
    <s v="Female"/>
    <x v="3"/>
    <n v="58.77"/>
    <n v="1"/>
    <n v="2.94"/>
    <n v="61.71"/>
    <x v="86"/>
    <s v="18:15"/>
    <x v="1"/>
    <n v="58.77"/>
    <n v="4.7618999999999998"/>
    <n v="2.94"/>
    <n v="7"/>
  </r>
  <r>
    <x v="747"/>
    <x v="2"/>
    <s v="Yangon"/>
    <x v="0"/>
    <s v="Female"/>
    <x v="5"/>
    <n v="80.81"/>
    <n v="4"/>
    <n v="16.16"/>
    <n v="339.4"/>
    <x v="21"/>
    <s v="17:05"/>
    <x v="0"/>
    <n v="323.24"/>
    <n v="4.7618999999999998"/>
    <n v="16.16"/>
    <n v="7.6"/>
  </r>
  <r>
    <x v="748"/>
    <x v="0"/>
    <s v="Naypyitaw"/>
    <x v="0"/>
    <s v="Male"/>
    <x v="1"/>
    <n v="40.6"/>
    <n v="3"/>
    <n v="6.09"/>
    <n v="127.89"/>
    <x v="74"/>
    <s v="10:40"/>
    <x v="1"/>
    <n v="121.8"/>
    <n v="4.7618999999999998"/>
    <n v="6.09"/>
    <n v="6.3"/>
  </r>
  <r>
    <x v="749"/>
    <x v="2"/>
    <s v="Yangon"/>
    <x v="0"/>
    <s v="Female"/>
    <x v="5"/>
    <n v="22.96"/>
    <n v="5"/>
    <n v="5.74"/>
    <n v="120.54"/>
    <x v="19"/>
    <s v="12:20"/>
    <x v="1"/>
    <n v="114.8"/>
    <n v="4.7618999999999998"/>
    <n v="5.74"/>
    <n v="8.1"/>
  </r>
  <r>
    <x v="750"/>
    <x v="0"/>
    <s v="Naypyitaw"/>
    <x v="1"/>
    <s v="Female"/>
    <x v="1"/>
    <n v="74.2"/>
    <n v="5"/>
    <n v="18.55"/>
    <n v="389.55"/>
    <x v="33"/>
    <s v="11:25"/>
    <x v="2"/>
    <n v="371"/>
    <n v="4.7618999999999998"/>
    <n v="18.55"/>
    <n v="6.5"/>
  </r>
  <r>
    <x v="751"/>
    <x v="1"/>
    <s v="Mandalay"/>
    <x v="1"/>
    <s v="Female"/>
    <x v="1"/>
    <n v="28.23"/>
    <n v="10"/>
    <n v="14.12"/>
    <n v="296.42"/>
    <x v="14"/>
    <s v="13:35"/>
    <x v="0"/>
    <n v="282.3"/>
    <n v="4.7618999999999998"/>
    <n v="14.12"/>
    <n v="8.5"/>
  </r>
  <r>
    <x v="752"/>
    <x v="2"/>
    <s v="Yangon"/>
    <x v="1"/>
    <s v="Female"/>
    <x v="5"/>
    <n v="51.83"/>
    <n v="7"/>
    <n v="18.14"/>
    <n v="380.95"/>
    <x v="36"/>
    <s v="17:00"/>
    <x v="1"/>
    <n v="362.81"/>
    <n v="4.7618999999999998"/>
    <n v="18.14"/>
    <n v="7.8"/>
  </r>
  <r>
    <x v="753"/>
    <x v="1"/>
    <s v="Mandalay"/>
    <x v="0"/>
    <s v="Female"/>
    <x v="3"/>
    <n v="68.64"/>
    <n v="3"/>
    <n v="10.3"/>
    <n v="216.22"/>
    <x v="24"/>
    <s v="19:30"/>
    <x v="1"/>
    <n v="205.92"/>
    <n v="4.7618999999999998"/>
    <n v="10.3"/>
    <n v="4.5"/>
  </r>
  <r>
    <x v="754"/>
    <x v="0"/>
    <s v="Naypyitaw"/>
    <x v="0"/>
    <s v="Female"/>
    <x v="5"/>
    <n v="58.64"/>
    <n v="3"/>
    <n v="8.8000000000000007"/>
    <n v="184.72"/>
    <x v="40"/>
    <s v="18:30"/>
    <x v="0"/>
    <n v="175.92"/>
    <n v="4.7618999999999998"/>
    <n v="8.8000000000000007"/>
    <n v="6.7"/>
  </r>
  <r>
    <x v="755"/>
    <x v="1"/>
    <s v="Mandalay"/>
    <x v="1"/>
    <s v="Female"/>
    <x v="1"/>
    <n v="15.42"/>
    <n v="8"/>
    <n v="6.17"/>
    <n v="129.53"/>
    <x v="48"/>
    <s v="19:20"/>
    <x v="0"/>
    <n v="123.36"/>
    <n v="4.7618999999999998"/>
    <n v="6.17"/>
    <n v="6.3"/>
  </r>
  <r>
    <x v="756"/>
    <x v="0"/>
    <s v="Naypyitaw"/>
    <x v="0"/>
    <s v="Male"/>
    <x v="1"/>
    <n v="24.53"/>
    <n v="9"/>
    <n v="11.04"/>
    <n v="231.81"/>
    <x v="86"/>
    <s v="11:20"/>
    <x v="2"/>
    <n v="220.77"/>
    <n v="4.7618999999999998"/>
    <n v="11.04"/>
    <n v="6.4"/>
  </r>
  <r>
    <x v="757"/>
    <x v="2"/>
    <s v="Yangon"/>
    <x v="1"/>
    <s v="Male"/>
    <x v="4"/>
    <n v="64.94"/>
    <n v="6"/>
    <n v="19.48"/>
    <n v="409.12"/>
    <x v="65"/>
    <s v="15:50"/>
    <x v="1"/>
    <n v="389.64"/>
    <n v="4.7618999999999998"/>
    <n v="19.48"/>
    <n v="9.9"/>
  </r>
  <r>
    <x v="758"/>
    <x v="1"/>
    <s v="Mandalay"/>
    <x v="1"/>
    <s v="Female"/>
    <x v="0"/>
    <n v="98.47"/>
    <n v="6"/>
    <n v="29.54"/>
    <n v="620.36"/>
    <x v="83"/>
    <s v="17:45"/>
    <x v="1"/>
    <n v="590.82000000000005"/>
    <n v="4.7618999999999998"/>
    <n v="29.54"/>
    <n v="4.0999999999999996"/>
  </r>
  <r>
    <x v="759"/>
    <x v="2"/>
    <s v="Yangon"/>
    <x v="0"/>
    <s v="Male"/>
    <x v="1"/>
    <n v="91.13"/>
    <n v="3"/>
    <n v="13.67"/>
    <n v="287.06"/>
    <x v="29"/>
    <s v="18:55"/>
    <x v="0"/>
    <n v="273.39"/>
    <n v="4.7618999999999998"/>
    <n v="13.67"/>
    <n v="6.9"/>
  </r>
  <r>
    <x v="760"/>
    <x v="0"/>
    <s v="Naypyitaw"/>
    <x v="0"/>
    <s v="Female"/>
    <x v="3"/>
    <n v="12.79"/>
    <n v="8"/>
    <n v="5.12"/>
    <n v="107.44"/>
    <x v="61"/>
    <s v="11:25"/>
    <x v="1"/>
    <n v="102.32"/>
    <n v="4.7618999999999998"/>
    <n v="5.12"/>
    <n v="9"/>
  </r>
  <r>
    <x v="761"/>
    <x v="1"/>
    <s v="Mandalay"/>
    <x v="0"/>
    <s v="Female"/>
    <x v="1"/>
    <n v="51.64"/>
    <n v="4"/>
    <n v="10.33"/>
    <n v="216.89"/>
    <x v="64"/>
    <s v="10:15"/>
    <x v="0"/>
    <n v="206.56"/>
    <n v="4.7618999999999998"/>
    <n v="10.33"/>
    <n v="4.0999999999999996"/>
  </r>
  <r>
    <x v="762"/>
    <x v="0"/>
    <s v="Naypyitaw"/>
    <x v="1"/>
    <s v="Female"/>
    <x v="1"/>
    <n v="83.47"/>
    <n v="5"/>
    <n v="20.87"/>
    <n v="438.22"/>
    <x v="88"/>
    <s v="13:35"/>
    <x v="1"/>
    <n v="417.35"/>
    <n v="4.7618999999999998"/>
    <n v="20.87"/>
    <n v="4.2"/>
  </r>
  <r>
    <x v="763"/>
    <x v="0"/>
    <s v="Naypyitaw"/>
    <x v="0"/>
    <s v="Female"/>
    <x v="4"/>
    <n v="98.58"/>
    <n v="7"/>
    <n v="34.5"/>
    <n v="724.56"/>
    <x v="46"/>
    <s v="14:45"/>
    <x v="0"/>
    <n v="690.06"/>
    <n v="4.7618999999999998"/>
    <n v="34.5"/>
    <n v="7"/>
  </r>
  <r>
    <x v="764"/>
    <x v="2"/>
    <s v="Yangon"/>
    <x v="0"/>
    <s v="Female"/>
    <x v="3"/>
    <n v="21.54"/>
    <n v="2"/>
    <n v="2.15"/>
    <n v="45.23"/>
    <x v="27"/>
    <s v="14:45"/>
    <x v="2"/>
    <n v="43.08"/>
    <n v="4.7618999999999998"/>
    <n v="2.15"/>
    <n v="9.3000000000000007"/>
  </r>
  <r>
    <x v="765"/>
    <x v="1"/>
    <s v="Mandalay"/>
    <x v="0"/>
    <s v="Female"/>
    <x v="0"/>
    <n v="71"/>
    <n v="10"/>
    <n v="35.5"/>
    <n v="745.5"/>
    <x v="39"/>
    <s v="20:40"/>
    <x v="1"/>
    <n v="710"/>
    <n v="4.7618999999999998"/>
    <n v="35.5"/>
    <n v="4"/>
  </r>
  <r>
    <x v="766"/>
    <x v="0"/>
    <s v="Naypyitaw"/>
    <x v="0"/>
    <s v="Male"/>
    <x v="2"/>
    <n v="85.99"/>
    <n v="7"/>
    <n v="30.1"/>
    <n v="632.03"/>
    <x v="31"/>
    <s v="11:50"/>
    <x v="0"/>
    <n v="601.92999999999995"/>
    <n v="4.7618999999999998"/>
    <n v="30.1"/>
    <n v="6.8"/>
  </r>
  <r>
    <x v="767"/>
    <x v="0"/>
    <s v="Naypyitaw"/>
    <x v="0"/>
    <s v="Female"/>
    <x v="1"/>
    <n v="35.01"/>
    <n v="7"/>
    <n v="12.25"/>
    <n v="257.32"/>
    <x v="71"/>
    <s v="17:25"/>
    <x v="2"/>
    <n v="245.07"/>
    <n v="4.7618999999999998"/>
    <n v="12.25"/>
    <n v="6.4"/>
  </r>
  <r>
    <x v="768"/>
    <x v="2"/>
    <s v="Yangon"/>
    <x v="0"/>
    <s v="Female"/>
    <x v="0"/>
    <n v="48.14"/>
    <n v="2"/>
    <n v="4.8099999999999996"/>
    <n v="101.09"/>
    <x v="40"/>
    <s v="13:10"/>
    <x v="1"/>
    <n v="96.28"/>
    <n v="4.7618999999999998"/>
    <n v="4.8099999999999996"/>
    <n v="5.9"/>
  </r>
  <r>
    <x v="769"/>
    <x v="0"/>
    <s v="Naypyitaw"/>
    <x v="0"/>
    <s v="Female"/>
    <x v="2"/>
    <n v="48.88"/>
    <n v="1"/>
    <n v="2.44"/>
    <n v="51.32"/>
    <x v="14"/>
    <s v="20:25"/>
    <x v="1"/>
    <n v="48.88"/>
    <n v="4.7618999999999998"/>
    <n v="2.44"/>
    <n v="5.5"/>
  </r>
  <r>
    <x v="770"/>
    <x v="2"/>
    <s v="Yangon"/>
    <x v="1"/>
    <s v="Female"/>
    <x v="5"/>
    <n v="56.77"/>
    <n v="4"/>
    <n v="11.35"/>
    <n v="238.43"/>
    <x v="15"/>
    <s v="19:45"/>
    <x v="1"/>
    <n v="227.08"/>
    <n v="4.7618999999999998"/>
    <n v="11.35"/>
    <n v="8.6"/>
  </r>
  <r>
    <x v="771"/>
    <x v="1"/>
    <s v="Mandalay"/>
    <x v="0"/>
    <s v="Female"/>
    <x v="1"/>
    <n v="92.5"/>
    <n v="7"/>
    <n v="32.380000000000003"/>
    <n v="679.88"/>
    <x v="56"/>
    <s v="11:10"/>
    <x v="2"/>
    <n v="647.5"/>
    <n v="4.7618999999999998"/>
    <n v="32.380000000000003"/>
    <n v="9.5"/>
  </r>
  <r>
    <x v="772"/>
    <x v="2"/>
    <s v="Yangon"/>
    <x v="1"/>
    <s v="Male"/>
    <x v="1"/>
    <n v="19.16"/>
    <n v="1"/>
    <n v="0.96"/>
    <n v="20.12"/>
    <x v="26"/>
    <s v="10:20"/>
    <x v="1"/>
    <n v="19.16"/>
    <n v="4.7618999999999998"/>
    <n v="0.96"/>
    <n v="6.4"/>
  </r>
  <r>
    <x v="773"/>
    <x v="1"/>
    <s v="Mandalay"/>
    <x v="0"/>
    <s v="Female"/>
    <x v="2"/>
    <n v="44.55"/>
    <n v="7"/>
    <n v="15.59"/>
    <n v="327.44"/>
    <x v="34"/>
    <s v="19:05"/>
    <x v="1"/>
    <n v="311.85000000000002"/>
    <n v="4.7618999999999998"/>
    <n v="15.59"/>
    <n v="7.9"/>
  </r>
  <r>
    <x v="774"/>
    <x v="2"/>
    <s v="Yangon"/>
    <x v="1"/>
    <s v="Male"/>
    <x v="3"/>
    <n v="27.32"/>
    <n v="2"/>
    <n v="2.73"/>
    <n v="57.37"/>
    <x v="77"/>
    <s v="19:55"/>
    <x v="2"/>
    <n v="54.64"/>
    <n v="4.7618999999999998"/>
    <n v="2.73"/>
    <n v="7.6"/>
  </r>
  <r>
    <x v="775"/>
    <x v="2"/>
    <s v="Yangon"/>
    <x v="0"/>
    <s v="Male"/>
    <x v="5"/>
    <n v="47.89"/>
    <n v="10"/>
    <n v="23.95"/>
    <n v="502.85"/>
    <x v="64"/>
    <s v="12:15"/>
    <x v="2"/>
    <n v="478.9"/>
    <n v="4.7618999999999998"/>
    <n v="23.95"/>
    <n v="8.8000000000000007"/>
  </r>
  <r>
    <x v="776"/>
    <x v="2"/>
    <s v="Yangon"/>
    <x v="1"/>
    <s v="Male"/>
    <x v="3"/>
    <n v="96.38"/>
    <n v="6"/>
    <n v="28.91"/>
    <n v="607.19000000000005"/>
    <x v="12"/>
    <s v="19:40"/>
    <x v="2"/>
    <n v="578.28"/>
    <n v="4.7618999999999998"/>
    <n v="28.91"/>
    <n v="4.9000000000000004"/>
  </r>
  <r>
    <x v="777"/>
    <x v="0"/>
    <s v="Naypyitaw"/>
    <x v="1"/>
    <s v="Male"/>
    <x v="5"/>
    <n v="97.32"/>
    <n v="9"/>
    <n v="43.79"/>
    <n v="919.67"/>
    <x v="14"/>
    <s v="20:50"/>
    <x v="2"/>
    <n v="875.88"/>
    <n v="4.7618999999999998"/>
    <n v="43.79"/>
    <n v="4.3"/>
  </r>
  <r>
    <x v="778"/>
    <x v="0"/>
    <s v="Naypyitaw"/>
    <x v="0"/>
    <s v="Male"/>
    <x v="5"/>
    <n v="27.59"/>
    <n v="4"/>
    <n v="5.52"/>
    <n v="115.88"/>
    <x v="5"/>
    <s v="13:05"/>
    <x v="1"/>
    <n v="110.36"/>
    <n v="4.7618999999999998"/>
    <n v="5.52"/>
    <n v="5.0999999999999996"/>
  </r>
  <r>
    <x v="779"/>
    <x v="0"/>
    <s v="Naypyitaw"/>
    <x v="1"/>
    <s v="Male"/>
    <x v="3"/>
    <n v="60.95"/>
    <n v="6"/>
    <n v="18.29"/>
    <n v="383.99"/>
    <x v="43"/>
    <s v="14:30"/>
    <x v="1"/>
    <n v="365.7"/>
    <n v="4.7618999999999998"/>
    <n v="18.29"/>
    <n v="5"/>
  </r>
  <r>
    <x v="780"/>
    <x v="2"/>
    <s v="Yangon"/>
    <x v="1"/>
    <s v="Female"/>
    <x v="1"/>
    <n v="67.489999999999995"/>
    <n v="4"/>
    <n v="13.5"/>
    <n v="283.45999999999998"/>
    <x v="6"/>
    <s v="19:15"/>
    <x v="2"/>
    <n v="269.95999999999998"/>
    <n v="4.7618999999999998"/>
    <n v="13.5"/>
    <n v="6.9"/>
  </r>
  <r>
    <x v="781"/>
    <x v="1"/>
    <s v="Mandalay"/>
    <x v="1"/>
    <s v="Female"/>
    <x v="2"/>
    <n v="26.58"/>
    <n v="1"/>
    <n v="1.33"/>
    <n v="27.91"/>
    <x v="53"/>
    <s v="10:05"/>
    <x v="1"/>
    <n v="26.58"/>
    <n v="4.7618999999999998"/>
    <n v="1.33"/>
    <n v="4.2"/>
  </r>
  <r>
    <x v="782"/>
    <x v="2"/>
    <s v="Yangon"/>
    <x v="1"/>
    <s v="Male"/>
    <x v="4"/>
    <n v="66.819999999999993"/>
    <n v="6"/>
    <n v="20.05"/>
    <n v="420.97"/>
    <x v="55"/>
    <s v="10:15"/>
    <x v="2"/>
    <n v="400.92"/>
    <n v="4.7618999999999998"/>
    <n v="20.05"/>
    <n v="5.7"/>
  </r>
  <r>
    <x v="783"/>
    <x v="1"/>
    <s v="Mandalay"/>
    <x v="0"/>
    <s v="Male"/>
    <x v="3"/>
    <n v="32.14"/>
    <n v="4"/>
    <n v="6.43"/>
    <n v="134.99"/>
    <x v="37"/>
    <s v="12:20"/>
    <x v="2"/>
    <n v="128.56"/>
    <n v="4.7618999999999998"/>
    <n v="6.43"/>
    <n v="4.0999999999999996"/>
  </r>
  <r>
    <x v="784"/>
    <x v="2"/>
    <s v="Yangon"/>
    <x v="1"/>
    <s v="Female"/>
    <x v="5"/>
    <n v="94.25"/>
    <n v="5"/>
    <n v="23.56"/>
    <n v="494.81"/>
    <x v="45"/>
    <s v="13:25"/>
    <x v="1"/>
    <n v="471.25"/>
    <n v="4.7618999999999998"/>
    <n v="23.56"/>
    <n v="8"/>
  </r>
  <r>
    <x v="785"/>
    <x v="0"/>
    <s v="Naypyitaw"/>
    <x v="1"/>
    <s v="Female"/>
    <x v="1"/>
    <n v="23"/>
    <n v="3"/>
    <n v="3.45"/>
    <n v="72.45"/>
    <x v="16"/>
    <s v="13:40"/>
    <x v="1"/>
    <n v="69"/>
    <n v="4.7618999999999998"/>
    <n v="3.45"/>
    <n v="8.1999999999999993"/>
  </r>
  <r>
    <x v="786"/>
    <x v="0"/>
    <s v="Naypyitaw"/>
    <x v="1"/>
    <s v="Female"/>
    <x v="1"/>
    <n v="78.680000000000007"/>
    <n v="10"/>
    <n v="39.340000000000003"/>
    <n v="826.14"/>
    <x v="16"/>
    <s v="18:20"/>
    <x v="2"/>
    <n v="786.8"/>
    <n v="4.7618999999999998"/>
    <n v="39.340000000000003"/>
    <n v="6"/>
  </r>
  <r>
    <x v="787"/>
    <x v="0"/>
    <s v="Naypyitaw"/>
    <x v="1"/>
    <s v="Female"/>
    <x v="3"/>
    <n v="97.15"/>
    <n v="8"/>
    <n v="38.86"/>
    <n v="816.06"/>
    <x v="83"/>
    <s v="11:35"/>
    <x v="0"/>
    <n v="777.2"/>
    <n v="4.7618999999999998"/>
    <n v="38.86"/>
    <n v="7.7"/>
  </r>
  <r>
    <x v="788"/>
    <x v="0"/>
    <s v="Naypyitaw"/>
    <x v="1"/>
    <s v="Male"/>
    <x v="2"/>
    <n v="56.7"/>
    <n v="3"/>
    <n v="8.51"/>
    <n v="178.61"/>
    <x v="59"/>
    <s v="15:40"/>
    <x v="0"/>
    <n v="170.1"/>
    <n v="4.7618999999999998"/>
    <n v="8.51"/>
    <n v="6.9"/>
  </r>
  <r>
    <x v="789"/>
    <x v="1"/>
    <s v="Mandalay"/>
    <x v="1"/>
    <s v="Male"/>
    <x v="0"/>
    <n v="92.91"/>
    <n v="10"/>
    <n v="46.46"/>
    <n v="975.56"/>
    <x v="62"/>
    <s v="10:15"/>
    <x v="2"/>
    <n v="929.1"/>
    <n v="4.7618999999999998"/>
    <n v="46.46"/>
    <n v="9.4"/>
  </r>
  <r>
    <x v="790"/>
    <x v="2"/>
    <s v="Yangon"/>
    <x v="1"/>
    <s v="Female"/>
    <x v="5"/>
    <n v="48.25"/>
    <n v="7"/>
    <n v="16.89"/>
    <n v="354.64"/>
    <x v="4"/>
    <s v="12:25"/>
    <x v="1"/>
    <n v="337.75"/>
    <n v="4.7618999999999998"/>
    <n v="16.89"/>
    <n v="7.3"/>
  </r>
  <r>
    <x v="791"/>
    <x v="2"/>
    <s v="Yangon"/>
    <x v="1"/>
    <s v="Male"/>
    <x v="3"/>
    <n v="41.64"/>
    <n v="10"/>
    <n v="20.82"/>
    <n v="437.22"/>
    <x v="55"/>
    <s v="17:40"/>
    <x v="0"/>
    <n v="416.4"/>
    <n v="4.7618999999999998"/>
    <n v="20.82"/>
    <n v="6"/>
  </r>
  <r>
    <x v="792"/>
    <x v="1"/>
    <s v="Mandalay"/>
    <x v="1"/>
    <s v="Male"/>
    <x v="5"/>
    <n v="82.41"/>
    <n v="6"/>
    <n v="24.72"/>
    <n v="519.17999999999995"/>
    <x v="48"/>
    <s v="16:00"/>
    <x v="2"/>
    <n v="494.46"/>
    <n v="4.7618999999999998"/>
    <n v="24.72"/>
    <n v="6.7"/>
  </r>
  <r>
    <x v="793"/>
    <x v="0"/>
    <s v="Naypyitaw"/>
    <x v="0"/>
    <s v="Male"/>
    <x v="1"/>
    <n v="36.51"/>
    <n v="9"/>
    <n v="16.43"/>
    <n v="345.02"/>
    <x v="9"/>
    <s v="18:50"/>
    <x v="2"/>
    <n v="328.59"/>
    <n v="4.7618999999999998"/>
    <n v="16.43"/>
    <n v="8.6999999999999993"/>
  </r>
  <r>
    <x v="794"/>
    <x v="2"/>
    <s v="Yangon"/>
    <x v="0"/>
    <s v="Female"/>
    <x v="5"/>
    <n v="13.45"/>
    <n v="4"/>
    <n v="2.69"/>
    <n v="56.49"/>
    <x v="51"/>
    <s v="13:50"/>
    <x v="1"/>
    <n v="53.8"/>
    <n v="4.7618999999999998"/>
    <n v="2.69"/>
    <n v="5.5"/>
  </r>
  <r>
    <x v="795"/>
    <x v="0"/>
    <s v="Naypyitaw"/>
    <x v="1"/>
    <s v="Female"/>
    <x v="0"/>
    <n v="64.36"/>
    <n v="3"/>
    <n v="9.65"/>
    <n v="202.73"/>
    <x v="63"/>
    <s v="14:00"/>
    <x v="1"/>
    <n v="193.08"/>
    <n v="4.7618999999999998"/>
    <n v="9.65"/>
    <n v="5.7"/>
  </r>
  <r>
    <x v="796"/>
    <x v="1"/>
    <s v="Mandalay"/>
    <x v="1"/>
    <s v="Female"/>
    <x v="2"/>
    <n v="68.87"/>
    <n v="3"/>
    <n v="10.33"/>
    <n v="216.94"/>
    <x v="87"/>
    <s v="13:15"/>
    <x v="0"/>
    <n v="206.61"/>
    <n v="4.7618999999999998"/>
    <n v="10.33"/>
    <n v="8.5"/>
  </r>
  <r>
    <x v="797"/>
    <x v="2"/>
    <s v="Yangon"/>
    <x v="1"/>
    <s v="Male"/>
    <x v="5"/>
    <n v="81.27"/>
    <n v="6"/>
    <n v="24.38"/>
    <n v="512"/>
    <x v="16"/>
    <s v="16:55"/>
    <x v="1"/>
    <n v="487.62"/>
    <n v="4.7618999999999998"/>
    <n v="24.38"/>
    <n v="5.3"/>
  </r>
  <r>
    <x v="798"/>
    <x v="0"/>
    <s v="Naypyitaw"/>
    <x v="0"/>
    <s v="Male"/>
    <x v="4"/>
    <n v="61.98"/>
    <n v="3"/>
    <n v="9.3000000000000007"/>
    <n v="195.24"/>
    <x v="12"/>
    <s v="10:35"/>
    <x v="0"/>
    <n v="185.94"/>
    <n v="4.7618999999999998"/>
    <n v="9.3000000000000007"/>
    <n v="9"/>
  </r>
  <r>
    <x v="799"/>
    <x v="2"/>
    <s v="Yangon"/>
    <x v="1"/>
    <s v="Male"/>
    <x v="0"/>
    <n v="77.739999999999995"/>
    <n v="9"/>
    <n v="34.979999999999997"/>
    <n v="734.64"/>
    <x v="24"/>
    <s v="15:45"/>
    <x v="2"/>
    <n v="699.66"/>
    <n v="4.7618999999999998"/>
    <n v="34.979999999999997"/>
    <n v="7.4"/>
  </r>
  <r>
    <x v="800"/>
    <x v="2"/>
    <s v="Yangon"/>
    <x v="0"/>
    <s v="Male"/>
    <x v="3"/>
    <n v="66.69"/>
    <n v="10"/>
    <n v="33.340000000000003"/>
    <n v="700.24"/>
    <x v="3"/>
    <s v="19:30"/>
    <x v="1"/>
    <n v="666.9"/>
    <n v="4.7618999999999998"/>
    <n v="33.340000000000003"/>
    <n v="5.2"/>
  </r>
  <r>
    <x v="801"/>
    <x v="2"/>
    <s v="Yangon"/>
    <x v="1"/>
    <s v="Female"/>
    <x v="2"/>
    <n v="19.78"/>
    <n v="10"/>
    <n v="9.89"/>
    <n v="207.69"/>
    <x v="68"/>
    <s v="20:20"/>
    <x v="2"/>
    <n v="197.8"/>
    <n v="4.7618999999999998"/>
    <n v="9.89"/>
    <n v="5"/>
  </r>
  <r>
    <x v="802"/>
    <x v="0"/>
    <s v="Naypyitaw"/>
    <x v="0"/>
    <s v="Female"/>
    <x v="0"/>
    <n v="64.3"/>
    <n v="1"/>
    <n v="3.21"/>
    <n v="67.510000000000005"/>
    <x v="18"/>
    <s v="13:05"/>
    <x v="1"/>
    <n v="64.3"/>
    <n v="4.7618999999999998"/>
    <n v="3.21"/>
    <n v="5.7"/>
  </r>
  <r>
    <x v="803"/>
    <x v="1"/>
    <s v="Mandalay"/>
    <x v="0"/>
    <s v="Male"/>
    <x v="1"/>
    <n v="43.18"/>
    <n v="1"/>
    <n v="2.16"/>
    <n v="45.34"/>
    <x v="38"/>
    <s v="15:30"/>
    <x v="1"/>
    <n v="43.18"/>
    <n v="4.7618999999999998"/>
    <n v="2.16"/>
    <n v="4.9000000000000004"/>
  </r>
  <r>
    <x v="804"/>
    <x v="2"/>
    <s v="Yangon"/>
    <x v="1"/>
    <s v="Male"/>
    <x v="0"/>
    <n v="16.190000000000001"/>
    <n v="4"/>
    <n v="3.24"/>
    <n v="68"/>
    <x v="27"/>
    <s v="13:20"/>
    <x v="1"/>
    <n v="64.760000000000005"/>
    <n v="4.7618999999999998"/>
    <n v="3.24"/>
    <n v="8.9"/>
  </r>
  <r>
    <x v="805"/>
    <x v="1"/>
    <s v="Mandalay"/>
    <x v="0"/>
    <s v="Male"/>
    <x v="3"/>
    <n v="28.27"/>
    <n v="8"/>
    <n v="11.31"/>
    <n v="237.47"/>
    <x v="31"/>
    <s v="13:00"/>
    <x v="2"/>
    <n v="226.16"/>
    <n v="4.7618999999999998"/>
    <n v="11.31"/>
    <n v="6.7"/>
  </r>
  <r>
    <x v="806"/>
    <x v="1"/>
    <s v="Mandalay"/>
    <x v="0"/>
    <s v="Male"/>
    <x v="3"/>
    <n v="89.13"/>
    <n v="8"/>
    <n v="35.65"/>
    <n v="748.69"/>
    <x v="6"/>
    <s v="19:00"/>
    <x v="0"/>
    <n v="713.04"/>
    <n v="4.7618999999999998"/>
    <n v="35.65"/>
    <n v="4.5"/>
  </r>
  <r>
    <x v="807"/>
    <x v="1"/>
    <s v="Mandalay"/>
    <x v="1"/>
    <s v="Male"/>
    <x v="2"/>
    <n v="65.17"/>
    <n v="3"/>
    <n v="9.7799999999999994"/>
    <n v="205.29"/>
    <x v="74"/>
    <s v="13:10"/>
    <x v="0"/>
    <n v="195.51"/>
    <n v="4.7618999999999998"/>
    <n v="9.7799999999999994"/>
    <n v="8.4"/>
  </r>
  <r>
    <x v="808"/>
    <x v="1"/>
    <s v="Mandalay"/>
    <x v="0"/>
    <s v="Female"/>
    <x v="2"/>
    <n v="72.88"/>
    <n v="1"/>
    <n v="3.64"/>
    <n v="76.52"/>
    <x v="35"/>
    <s v="12:20"/>
    <x v="0"/>
    <n v="72.88"/>
    <n v="4.7618999999999998"/>
    <n v="3.64"/>
    <n v="7.2"/>
  </r>
  <r>
    <x v="809"/>
    <x v="2"/>
    <s v="Yangon"/>
    <x v="0"/>
    <s v="Male"/>
    <x v="2"/>
    <n v="99.32"/>
    <n v="9"/>
    <n v="44.69"/>
    <n v="938.57"/>
    <x v="41"/>
    <s v="15:05"/>
    <x v="2"/>
    <n v="893.88"/>
    <n v="4.7618999999999998"/>
    <n v="44.69"/>
    <n v="7"/>
  </r>
  <r>
    <x v="810"/>
    <x v="1"/>
    <s v="Mandalay"/>
    <x v="1"/>
    <s v="Male"/>
    <x v="4"/>
    <n v="32.75"/>
    <n v="9"/>
    <n v="14.74"/>
    <n v="309.49"/>
    <x v="55"/>
    <s v="17:00"/>
    <x v="2"/>
    <n v="294.75"/>
    <n v="4.7618999999999998"/>
    <n v="14.74"/>
    <n v="7.8"/>
  </r>
  <r>
    <x v="811"/>
    <x v="0"/>
    <s v="Naypyitaw"/>
    <x v="1"/>
    <s v="Male"/>
    <x v="5"/>
    <n v="77.14"/>
    <n v="4"/>
    <n v="15.43"/>
    <n v="323.99"/>
    <x v="87"/>
    <s v="10:00"/>
    <x v="1"/>
    <n v="308.56"/>
    <n v="4.7618999999999998"/>
    <n v="15.43"/>
    <n v="4.7"/>
  </r>
  <r>
    <x v="812"/>
    <x v="1"/>
    <s v="Mandalay"/>
    <x v="1"/>
    <s v="Male"/>
    <x v="2"/>
    <n v="16.14"/>
    <n v="9"/>
    <n v="7.26"/>
    <n v="152.52000000000001"/>
    <x v="13"/>
    <s v="13:55"/>
    <x v="1"/>
    <n v="145.26"/>
    <n v="4.7618999999999998"/>
    <n v="7.26"/>
    <n v="4.8"/>
  </r>
  <r>
    <x v="813"/>
    <x v="1"/>
    <s v="Mandalay"/>
    <x v="0"/>
    <s v="Female"/>
    <x v="1"/>
    <n v="64.63"/>
    <n v="3"/>
    <n v="9.69"/>
    <n v="203.58"/>
    <x v="60"/>
    <s v="11:40"/>
    <x v="0"/>
    <n v="193.89"/>
    <n v="4.7618999999999998"/>
    <n v="9.69"/>
    <n v="6.3"/>
  </r>
  <r>
    <x v="814"/>
    <x v="0"/>
    <s v="Naypyitaw"/>
    <x v="0"/>
    <s v="Male"/>
    <x v="4"/>
    <n v="49.66"/>
    <n v="3"/>
    <n v="7.45"/>
    <n v="156.43"/>
    <x v="69"/>
    <s v="10:50"/>
    <x v="0"/>
    <n v="148.97999999999999"/>
    <n v="4.7618999999999998"/>
    <n v="7.45"/>
    <n v="5.3"/>
  </r>
  <r>
    <x v="815"/>
    <x v="2"/>
    <s v="Yangon"/>
    <x v="0"/>
    <s v="Male"/>
    <x v="0"/>
    <n v="37.75"/>
    <n v="1"/>
    <n v="1.89"/>
    <n v="39.64"/>
    <x v="10"/>
    <s v="10:00"/>
    <x v="1"/>
    <n v="37.75"/>
    <n v="4.7618999999999998"/>
    <n v="1.89"/>
    <n v="8.6"/>
  </r>
  <r>
    <x v="816"/>
    <x v="1"/>
    <s v="Mandalay"/>
    <x v="0"/>
    <s v="Female"/>
    <x v="1"/>
    <n v="11.44"/>
    <n v="1"/>
    <n v="0.56999999999999995"/>
    <n v="12.01"/>
    <x v="77"/>
    <s v="15:15"/>
    <x v="0"/>
    <n v="11.44"/>
    <n v="4.7618999999999998"/>
    <n v="0.56999999999999995"/>
    <n v="8"/>
  </r>
  <r>
    <x v="817"/>
    <x v="2"/>
    <s v="Yangon"/>
    <x v="0"/>
    <s v="Female"/>
    <x v="1"/>
    <n v="47.41"/>
    <n v="2"/>
    <n v="4.74"/>
    <n v="99.56"/>
    <x v="59"/>
    <s v="15:40"/>
    <x v="0"/>
    <n v="94.82"/>
    <n v="4.7618999999999998"/>
    <n v="4.74"/>
    <n v="5.0999999999999996"/>
  </r>
  <r>
    <x v="818"/>
    <x v="0"/>
    <s v="Naypyitaw"/>
    <x v="1"/>
    <s v="Male"/>
    <x v="1"/>
    <n v="30.92"/>
    <n v="2"/>
    <n v="3.09"/>
    <n v="64.930000000000007"/>
    <x v="28"/>
    <s v="15:10"/>
    <x v="2"/>
    <n v="61.84"/>
    <n v="4.7618999999999998"/>
    <n v="3.09"/>
    <n v="6.4"/>
  </r>
  <r>
    <x v="819"/>
    <x v="2"/>
    <s v="Yangon"/>
    <x v="1"/>
    <s v="Female"/>
    <x v="2"/>
    <n v="29.81"/>
    <n v="5"/>
    <n v="7.45"/>
    <n v="156.5"/>
    <x v="62"/>
    <s v="19:25"/>
    <x v="2"/>
    <n v="149.05000000000001"/>
    <n v="4.7618999999999998"/>
    <n v="7.45"/>
    <n v="4.4000000000000004"/>
  </r>
  <r>
    <x v="820"/>
    <x v="1"/>
    <s v="Mandalay"/>
    <x v="1"/>
    <s v="Male"/>
    <x v="1"/>
    <n v="74.13"/>
    <n v="10"/>
    <n v="37.06"/>
    <n v="778.36"/>
    <x v="38"/>
    <s v="14:05"/>
    <x v="0"/>
    <n v="741.3"/>
    <n v="4.7618999999999998"/>
    <n v="37.06"/>
    <n v="5.9"/>
  </r>
  <r>
    <x v="821"/>
    <x v="0"/>
    <s v="Naypyitaw"/>
    <x v="1"/>
    <s v="Female"/>
    <x v="5"/>
    <n v="25.78"/>
    <n v="6"/>
    <n v="7.73"/>
    <n v="162.41"/>
    <x v="23"/>
    <s v="17:05"/>
    <x v="1"/>
    <n v="154.68"/>
    <n v="4.7618999999999998"/>
    <n v="7.73"/>
    <n v="4.0999999999999996"/>
  </r>
  <r>
    <x v="822"/>
    <x v="1"/>
    <s v="Mandalay"/>
    <x v="1"/>
    <s v="Female"/>
    <x v="3"/>
    <n v="62.87"/>
    <n v="1"/>
    <n v="3.14"/>
    <n v="66.010000000000005"/>
    <x v="57"/>
    <s v="10:45"/>
    <x v="2"/>
    <n v="62.87"/>
    <n v="4.7618999999999998"/>
    <n v="3.14"/>
    <n v="5.9"/>
  </r>
  <r>
    <x v="823"/>
    <x v="1"/>
    <s v="Mandalay"/>
    <x v="0"/>
    <s v="Female"/>
    <x v="1"/>
    <n v="22.38"/>
    <n v="8"/>
    <n v="8.9499999999999993"/>
    <n v="187.99"/>
    <x v="60"/>
    <s v="13:10"/>
    <x v="1"/>
    <n v="179.04"/>
    <n v="4.7618999999999998"/>
    <n v="8.9499999999999993"/>
    <n v="5.2"/>
  </r>
  <r>
    <x v="824"/>
    <x v="2"/>
    <s v="Yangon"/>
    <x v="1"/>
    <s v="Male"/>
    <x v="4"/>
    <n v="35.03"/>
    <n v="1"/>
    <n v="1.75"/>
    <n v="36.78"/>
    <x v="72"/>
    <s v="16:50"/>
    <x v="1"/>
    <n v="35.03"/>
    <n v="4.7618999999999998"/>
    <n v="1.75"/>
    <n v="8.5"/>
  </r>
  <r>
    <x v="825"/>
    <x v="0"/>
    <s v="Naypyitaw"/>
    <x v="1"/>
    <s v="Male"/>
    <x v="4"/>
    <n v="28.52"/>
    <n v="1"/>
    <n v="1.43"/>
    <n v="29.95"/>
    <x v="23"/>
    <s v="13:50"/>
    <x v="0"/>
    <n v="28.52"/>
    <n v="4.7618999999999998"/>
    <n v="1.43"/>
    <n v="8.3000000000000007"/>
  </r>
  <r>
    <x v="826"/>
    <x v="1"/>
    <s v="Mandalay"/>
    <x v="1"/>
    <s v="Female"/>
    <x v="2"/>
    <n v="66.680000000000007"/>
    <n v="2"/>
    <n v="6.67"/>
    <n v="140.03"/>
    <x v="44"/>
    <s v="11:15"/>
    <x v="2"/>
    <n v="133.36000000000001"/>
    <n v="4.7618999999999998"/>
    <n v="6.67"/>
    <n v="7.8"/>
  </r>
  <r>
    <x v="827"/>
    <x v="2"/>
    <s v="Yangon"/>
    <x v="0"/>
    <s v="Female"/>
    <x v="4"/>
    <n v="63.34"/>
    <n v="4"/>
    <n v="12.67"/>
    <n v="266.02999999999997"/>
    <x v="35"/>
    <s v="18:05"/>
    <x v="1"/>
    <n v="253.36"/>
    <n v="4.7618999999999998"/>
    <n v="12.67"/>
    <n v="8.3000000000000007"/>
  </r>
  <r>
    <x v="828"/>
    <x v="2"/>
    <s v="Yangon"/>
    <x v="0"/>
    <s v="Female"/>
    <x v="2"/>
    <n v="25.88"/>
    <n v="4"/>
    <n v="5.18"/>
    <n v="108.7"/>
    <x v="24"/>
    <s v="14:45"/>
    <x v="1"/>
    <n v="103.52"/>
    <n v="4.7618999999999998"/>
    <n v="5.18"/>
    <n v="9.8000000000000007"/>
  </r>
  <r>
    <x v="829"/>
    <x v="1"/>
    <s v="Mandalay"/>
    <x v="1"/>
    <s v="Female"/>
    <x v="5"/>
    <n v="45.84"/>
    <n v="3"/>
    <n v="6.88"/>
    <n v="144.4"/>
    <x v="50"/>
    <s v="17:30"/>
    <x v="0"/>
    <n v="137.52000000000001"/>
    <n v="4.7618999999999998"/>
    <n v="6.88"/>
    <n v="7.7"/>
  </r>
  <r>
    <x v="830"/>
    <x v="2"/>
    <s v="Yangon"/>
    <x v="1"/>
    <s v="Female"/>
    <x v="2"/>
    <n v="48.47"/>
    <n v="2"/>
    <n v="4.8499999999999996"/>
    <n v="101.79"/>
    <x v="24"/>
    <s v="19:40"/>
    <x v="2"/>
    <n v="96.94"/>
    <n v="4.7618999999999998"/>
    <n v="4.8499999999999996"/>
    <n v="7.3"/>
  </r>
  <r>
    <x v="831"/>
    <x v="1"/>
    <s v="Mandalay"/>
    <x v="1"/>
    <s v="Male"/>
    <x v="5"/>
    <n v="50.82"/>
    <n v="7"/>
    <n v="17.79"/>
    <n v="373.53"/>
    <x v="26"/>
    <s v="19:35"/>
    <x v="2"/>
    <n v="355.74"/>
    <n v="4.7618999999999998"/>
    <n v="17.79"/>
    <n v="6"/>
  </r>
  <r>
    <x v="832"/>
    <x v="1"/>
    <s v="Mandalay"/>
    <x v="0"/>
    <s v="Female"/>
    <x v="4"/>
    <n v="10.38"/>
    <n v="9"/>
    <n v="4.67"/>
    <n v="98.09"/>
    <x v="67"/>
    <s v="17:30"/>
    <x v="1"/>
    <n v="93.42"/>
    <n v="4.7618999999999998"/>
    <n v="4.67"/>
    <n v="9.6"/>
  </r>
  <r>
    <x v="833"/>
    <x v="1"/>
    <s v="Mandalay"/>
    <x v="1"/>
    <s v="Male"/>
    <x v="5"/>
    <n v="67.69"/>
    <n v="10"/>
    <n v="33.840000000000003"/>
    <n v="710.74"/>
    <x v="15"/>
    <s v="16:00"/>
    <x v="2"/>
    <n v="676.9"/>
    <n v="4.7618999999999998"/>
    <n v="33.840000000000003"/>
    <n v="6.3"/>
  </r>
  <r>
    <x v="834"/>
    <x v="2"/>
    <s v="Yangon"/>
    <x v="0"/>
    <s v="Male"/>
    <x v="5"/>
    <n v="79.41"/>
    <n v="6"/>
    <n v="23.82"/>
    <n v="500.28"/>
    <x v="9"/>
    <s v="17:50"/>
    <x v="0"/>
    <n v="476.46"/>
    <n v="4.7618999999999998"/>
    <n v="23.82"/>
    <n v="6.2"/>
  </r>
  <r>
    <x v="835"/>
    <x v="0"/>
    <s v="Naypyitaw"/>
    <x v="1"/>
    <s v="Male"/>
    <x v="0"/>
    <n v="32.21"/>
    <n v="8"/>
    <n v="12.88"/>
    <n v="270.56"/>
    <x v="52"/>
    <s v="15:50"/>
    <x v="0"/>
    <n v="257.68"/>
    <n v="4.7618999999999998"/>
    <n v="12.88"/>
    <n v="8.1"/>
  </r>
  <r>
    <x v="836"/>
    <x v="0"/>
    <s v="Naypyitaw"/>
    <x v="0"/>
    <s v="Male"/>
    <x v="3"/>
    <n v="50.99"/>
    <n v="3"/>
    <n v="7.65"/>
    <n v="160.62"/>
    <x v="39"/>
    <s v="13:45"/>
    <x v="0"/>
    <n v="152.97"/>
    <n v="4.7618999999999998"/>
    <n v="7.65"/>
    <n v="9.6999999999999993"/>
  </r>
  <r>
    <x v="837"/>
    <x v="2"/>
    <s v="Yangon"/>
    <x v="0"/>
    <s v="Female"/>
    <x v="1"/>
    <n v="68"/>
    <n v="7"/>
    <n v="23.8"/>
    <n v="499.8"/>
    <x v="87"/>
    <s v="19:05"/>
    <x v="0"/>
    <n v="476"/>
    <n v="4.7618999999999998"/>
    <n v="23.8"/>
    <n v="9.5"/>
  </r>
  <r>
    <x v="838"/>
    <x v="1"/>
    <s v="Mandalay"/>
    <x v="0"/>
    <s v="Male"/>
    <x v="5"/>
    <n v="72.27"/>
    <n v="9"/>
    <n v="32.520000000000003"/>
    <n v="682.95"/>
    <x v="71"/>
    <s v="20:30"/>
    <x v="0"/>
    <n v="650.42999999999995"/>
    <n v="4.7618999999999998"/>
    <n v="32.520000000000003"/>
    <n v="5.8"/>
  </r>
  <r>
    <x v="839"/>
    <x v="0"/>
    <s v="Naypyitaw"/>
    <x v="0"/>
    <s v="Female"/>
    <x v="0"/>
    <n v="61.54"/>
    <n v="6"/>
    <n v="18.46"/>
    <n v="387.7"/>
    <x v="8"/>
    <s v="14:55"/>
    <x v="2"/>
    <n v="369.24"/>
    <n v="4.7618999999999998"/>
    <n v="18.46"/>
    <n v="9.6"/>
  </r>
  <r>
    <x v="840"/>
    <x v="0"/>
    <s v="Naypyitaw"/>
    <x v="1"/>
    <s v="Female"/>
    <x v="4"/>
    <n v="83.48"/>
    <n v="1"/>
    <n v="4.17"/>
    <n v="87.65"/>
    <x v="75"/>
    <s v="11:55"/>
    <x v="1"/>
    <n v="83.48"/>
    <n v="4.7618999999999998"/>
    <n v="4.17"/>
    <n v="7.1"/>
  </r>
  <r>
    <x v="841"/>
    <x v="1"/>
    <s v="Mandalay"/>
    <x v="1"/>
    <s v="Female"/>
    <x v="4"/>
    <n v="43.72"/>
    <n v="3"/>
    <n v="6.56"/>
    <n v="137.72"/>
    <x v="30"/>
    <s v="17:10"/>
    <x v="0"/>
    <n v="131.16"/>
    <n v="4.7618999999999998"/>
    <n v="6.56"/>
    <n v="9.6999999999999993"/>
  </r>
  <r>
    <x v="842"/>
    <x v="0"/>
    <s v="Naypyitaw"/>
    <x v="0"/>
    <s v="Female"/>
    <x v="4"/>
    <n v="15.31"/>
    <n v="3"/>
    <n v="2.2999999999999998"/>
    <n v="48.23"/>
    <x v="16"/>
    <s v="14:30"/>
    <x v="1"/>
    <n v="45.93"/>
    <n v="4.7618999999999998"/>
    <n v="2.2999999999999998"/>
    <n v="7.8"/>
  </r>
  <r>
    <x v="843"/>
    <x v="2"/>
    <s v="Yangon"/>
    <x v="0"/>
    <s v="Female"/>
    <x v="5"/>
    <n v="17.71"/>
    <n v="2"/>
    <n v="1.77"/>
    <n v="37.19"/>
    <x v="31"/>
    <s v="11:25"/>
    <x v="2"/>
    <n v="35.42"/>
    <n v="4.7618999999999998"/>
    <n v="1.77"/>
    <n v="7.5"/>
  </r>
  <r>
    <x v="844"/>
    <x v="1"/>
    <s v="Mandalay"/>
    <x v="0"/>
    <s v="Female"/>
    <x v="1"/>
    <n v="33.950000000000003"/>
    <n v="1"/>
    <n v="1.7"/>
    <n v="35.65"/>
    <x v="23"/>
    <s v="19:00"/>
    <x v="2"/>
    <n v="33.950000000000003"/>
    <n v="4.7618999999999998"/>
    <n v="1.7"/>
    <n v="5.3"/>
  </r>
  <r>
    <x v="845"/>
    <x v="2"/>
    <s v="Yangon"/>
    <x v="1"/>
    <s v="Male"/>
    <x v="2"/>
    <n v="52.59"/>
    <n v="6"/>
    <n v="15.78"/>
    <n v="331.32"/>
    <x v="3"/>
    <s v="16:25"/>
    <x v="1"/>
    <n v="315.54000000000002"/>
    <n v="4.7618999999999998"/>
    <n v="15.78"/>
    <n v="8.1"/>
  </r>
  <r>
    <x v="846"/>
    <x v="1"/>
    <s v="Mandalay"/>
    <x v="0"/>
    <s v="Male"/>
    <x v="0"/>
    <n v="45.86"/>
    <n v="10"/>
    <n v="22.93"/>
    <n v="481.53"/>
    <x v="17"/>
    <s v="15:25"/>
    <x v="2"/>
    <n v="458.6"/>
    <n v="4.7618999999999998"/>
    <n v="22.93"/>
    <n v="4"/>
  </r>
  <r>
    <x v="847"/>
    <x v="0"/>
    <s v="Naypyitaw"/>
    <x v="1"/>
    <s v="Female"/>
    <x v="1"/>
    <n v="64.17"/>
    <n v="9"/>
    <n v="28.88"/>
    <n v="606.41"/>
    <x v="31"/>
    <s v="13:25"/>
    <x v="1"/>
    <n v="577.53"/>
    <n v="4.7618999999999998"/>
    <n v="28.88"/>
    <n v="7.7"/>
  </r>
  <r>
    <x v="848"/>
    <x v="1"/>
    <s v="Mandalay"/>
    <x v="1"/>
    <s v="Female"/>
    <x v="1"/>
    <n v="98.76"/>
    <n v="6"/>
    <n v="29.63"/>
    <n v="622.19000000000005"/>
    <x v="37"/>
    <s v="20:25"/>
    <x v="2"/>
    <n v="592.55999999999995"/>
    <n v="4.7618999999999998"/>
    <n v="29.63"/>
    <n v="9.8000000000000007"/>
  </r>
  <r>
    <x v="849"/>
    <x v="1"/>
    <s v="Mandalay"/>
    <x v="1"/>
    <s v="Female"/>
    <x v="3"/>
    <n v="53.61"/>
    <n v="10"/>
    <n v="26.81"/>
    <n v="562.91"/>
    <x v="22"/>
    <s v="15:30"/>
    <x v="1"/>
    <n v="536.1"/>
    <n v="4.7618999999999998"/>
    <n v="26.81"/>
    <n v="9.9"/>
  </r>
  <r>
    <x v="850"/>
    <x v="0"/>
    <s v="Naypyitaw"/>
    <x v="0"/>
    <s v="Male"/>
    <x v="5"/>
    <n v="64.650000000000006"/>
    <n v="3"/>
    <n v="9.6999999999999993"/>
    <n v="203.65"/>
    <x v="72"/>
    <s v="19:55"/>
    <x v="0"/>
    <n v="193.95"/>
    <n v="4.7618999999999998"/>
    <n v="9.6999999999999993"/>
    <n v="4.2"/>
  </r>
  <r>
    <x v="851"/>
    <x v="2"/>
    <s v="Yangon"/>
    <x v="1"/>
    <s v="Male"/>
    <x v="4"/>
    <n v="90.68"/>
    <n v="2"/>
    <n v="9.07"/>
    <n v="190.43"/>
    <x v="76"/>
    <s v="20:40"/>
    <x v="2"/>
    <n v="181.36"/>
    <n v="4.7618999999999998"/>
    <n v="9.07"/>
    <n v="5.5"/>
  </r>
  <r>
    <x v="852"/>
    <x v="0"/>
    <s v="Naypyitaw"/>
    <x v="0"/>
    <s v="Female"/>
    <x v="2"/>
    <n v="99.4"/>
    <n v="1"/>
    <n v="4.97"/>
    <n v="104.37"/>
    <x v="2"/>
    <s v="15:30"/>
    <x v="1"/>
    <n v="99.4"/>
    <n v="4.7618999999999998"/>
    <n v="4.97"/>
    <n v="5.3"/>
  </r>
  <r>
    <x v="853"/>
    <x v="0"/>
    <s v="Naypyitaw"/>
    <x v="1"/>
    <s v="Female"/>
    <x v="0"/>
    <n v="22.22"/>
    <n v="9"/>
    <n v="10"/>
    <n v="209.98"/>
    <x v="5"/>
    <s v="17:05"/>
    <x v="0"/>
    <n v="199.98"/>
    <n v="4.7618999999999998"/>
    <n v="10"/>
    <n v="6"/>
  </r>
  <r>
    <x v="854"/>
    <x v="0"/>
    <s v="Naypyitaw"/>
    <x v="0"/>
    <s v="Male"/>
    <x v="2"/>
    <n v="91.92"/>
    <n v="7"/>
    <n v="32.17"/>
    <n v="675.61"/>
    <x v="62"/>
    <s v="20:40"/>
    <x v="1"/>
    <n v="643.44000000000005"/>
    <n v="4.7618999999999998"/>
    <n v="32.17"/>
    <n v="8.9"/>
  </r>
  <r>
    <x v="855"/>
    <x v="1"/>
    <s v="Mandalay"/>
    <x v="0"/>
    <s v="Male"/>
    <x v="1"/>
    <n v="20.02"/>
    <n v="6"/>
    <n v="6.01"/>
    <n v="126.13"/>
    <x v="14"/>
    <s v="13:55"/>
    <x v="2"/>
    <n v="120.12"/>
    <n v="4.7618999999999998"/>
    <n v="6.01"/>
    <n v="7.4"/>
  </r>
  <r>
    <x v="856"/>
    <x v="1"/>
    <s v="Mandalay"/>
    <x v="1"/>
    <s v="Female"/>
    <x v="5"/>
    <n v="15.57"/>
    <n v="9"/>
    <n v="7.01"/>
    <n v="147.13999999999999"/>
    <x v="16"/>
    <s v="16:30"/>
    <x v="1"/>
    <n v="140.13"/>
    <n v="4.7618999999999998"/>
    <n v="7.01"/>
    <n v="8.6"/>
  </r>
  <r>
    <x v="857"/>
    <x v="0"/>
    <s v="Naypyitaw"/>
    <x v="0"/>
    <s v="Female"/>
    <x v="1"/>
    <n v="45.58"/>
    <n v="9"/>
    <n v="20.51"/>
    <n v="430.73"/>
    <x v="45"/>
    <s v="15:10"/>
    <x v="1"/>
    <n v="410.22"/>
    <n v="4.7618999999999998"/>
    <n v="20.51"/>
    <n v="9"/>
  </r>
  <r>
    <x v="858"/>
    <x v="0"/>
    <s v="Naypyitaw"/>
    <x v="1"/>
    <s v="Female"/>
    <x v="3"/>
    <n v="35.51"/>
    <n v="1"/>
    <n v="1.78"/>
    <n v="37.29"/>
    <x v="10"/>
    <s v="15:20"/>
    <x v="0"/>
    <n v="35.51"/>
    <n v="4.7618999999999998"/>
    <n v="1.78"/>
    <n v="9.9"/>
  </r>
  <r>
    <x v="859"/>
    <x v="1"/>
    <s v="Mandalay"/>
    <x v="1"/>
    <s v="Female"/>
    <x v="2"/>
    <n v="36.229999999999997"/>
    <n v="7"/>
    <n v="12.68"/>
    <n v="266.29000000000002"/>
    <x v="17"/>
    <s v="15:10"/>
    <x v="0"/>
    <n v="253.61"/>
    <n v="4.7618999999999998"/>
    <n v="12.68"/>
    <n v="5.3"/>
  </r>
  <r>
    <x v="860"/>
    <x v="2"/>
    <s v="Yangon"/>
    <x v="0"/>
    <s v="Female"/>
    <x v="2"/>
    <n v="75.47"/>
    <n v="5"/>
    <n v="18.87"/>
    <n v="396.22"/>
    <x v="13"/>
    <s v="12:00"/>
    <x v="0"/>
    <n v="377.35"/>
    <n v="4.7618999999999998"/>
    <n v="18.87"/>
    <n v="6.4"/>
  </r>
  <r>
    <x v="861"/>
    <x v="0"/>
    <s v="Naypyitaw"/>
    <x v="1"/>
    <s v="Male"/>
    <x v="2"/>
    <n v="45.2"/>
    <n v="9"/>
    <n v="20.34"/>
    <n v="427.14"/>
    <x v="47"/>
    <s v="14:55"/>
    <x v="2"/>
    <n v="406.8"/>
    <n v="4.7618999999999998"/>
    <n v="20.34"/>
    <n v="8.1999999999999993"/>
  </r>
  <r>
    <x v="862"/>
    <x v="1"/>
    <s v="Mandalay"/>
    <x v="0"/>
    <s v="Female"/>
    <x v="5"/>
    <n v="77.7"/>
    <n v="10"/>
    <n v="38.85"/>
    <n v="815.85"/>
    <x v="73"/>
    <s v="14:35"/>
    <x v="0"/>
    <n v="777"/>
    <n v="4.7618999999999998"/>
    <n v="38.85"/>
    <n v="5"/>
  </r>
  <r>
    <x v="863"/>
    <x v="1"/>
    <s v="Mandalay"/>
    <x v="1"/>
    <s v="Male"/>
    <x v="4"/>
    <n v="28.88"/>
    <n v="4"/>
    <n v="5.78"/>
    <n v="121.3"/>
    <x v="62"/>
    <s v="10:25"/>
    <x v="0"/>
    <n v="115.52"/>
    <n v="4.7618999999999998"/>
    <n v="5.78"/>
    <n v="9.1"/>
  </r>
  <r>
    <x v="864"/>
    <x v="0"/>
    <s v="Naypyitaw"/>
    <x v="0"/>
    <s v="Male"/>
    <x v="2"/>
    <n v="71.150000000000006"/>
    <n v="3"/>
    <n v="10.67"/>
    <n v="224.12"/>
    <x v="17"/>
    <s v="11:25"/>
    <x v="1"/>
    <n v="213.45"/>
    <n v="4.7618999999999998"/>
    <n v="10.67"/>
    <n v="5.0999999999999996"/>
  </r>
  <r>
    <x v="865"/>
    <x v="2"/>
    <s v="Yangon"/>
    <x v="1"/>
    <s v="Male"/>
    <x v="4"/>
    <n v="66.430000000000007"/>
    <n v="7"/>
    <n v="23.25"/>
    <n v="488.26"/>
    <x v="40"/>
    <s v="10:05"/>
    <x v="2"/>
    <n v="465.01"/>
    <n v="4.7618999999999998"/>
    <n v="23.25"/>
    <n v="6.4"/>
  </r>
  <r>
    <x v="866"/>
    <x v="0"/>
    <s v="Naypyitaw"/>
    <x v="0"/>
    <s v="Male"/>
    <x v="0"/>
    <n v="99.2"/>
    <n v="2"/>
    <n v="9.92"/>
    <n v="208.32"/>
    <x v="6"/>
    <s v="20:30"/>
    <x v="1"/>
    <n v="198.4"/>
    <n v="4.7618999999999998"/>
    <n v="9.92"/>
    <n v="7.8"/>
  </r>
  <r>
    <x v="867"/>
    <x v="1"/>
    <s v="Mandalay"/>
    <x v="0"/>
    <s v="Female"/>
    <x v="1"/>
    <n v="17.440000000000001"/>
    <n v="8"/>
    <n v="6.98"/>
    <n v="146.5"/>
    <x v="80"/>
    <s v="20:40"/>
    <x v="2"/>
    <n v="139.52000000000001"/>
    <n v="4.7618999999999998"/>
    <n v="6.98"/>
    <n v="4.0999999999999996"/>
  </r>
  <r>
    <x v="868"/>
    <x v="0"/>
    <s v="Naypyitaw"/>
    <x v="1"/>
    <s v="Male"/>
    <x v="0"/>
    <n v="77.08"/>
    <n v="10"/>
    <n v="38.54"/>
    <n v="809.34"/>
    <x v="18"/>
    <s v="16:35"/>
    <x v="0"/>
    <n v="770.8"/>
    <n v="4.7618999999999998"/>
    <n v="38.54"/>
    <n v="8.1999999999999993"/>
  </r>
  <r>
    <x v="869"/>
    <x v="0"/>
    <s v="Naypyitaw"/>
    <x v="0"/>
    <s v="Female"/>
    <x v="5"/>
    <n v="15.71"/>
    <n v="9"/>
    <n v="7.07"/>
    <n v="148.46"/>
    <x v="18"/>
    <s v="16:55"/>
    <x v="2"/>
    <n v="141.38999999999999"/>
    <n v="4.7618999999999998"/>
    <n v="7.07"/>
    <n v="6.4"/>
  </r>
  <r>
    <x v="870"/>
    <x v="0"/>
    <s v="Naypyitaw"/>
    <x v="1"/>
    <s v="Female"/>
    <x v="3"/>
    <n v="85.34"/>
    <n v="9"/>
    <n v="38.4"/>
    <n v="806.46"/>
    <x v="62"/>
    <s v="11:15"/>
    <x v="0"/>
    <n v="768.06"/>
    <n v="4.7618999999999998"/>
    <n v="38.4"/>
    <n v="9.4"/>
  </r>
  <r>
    <x v="871"/>
    <x v="0"/>
    <s v="Naypyitaw"/>
    <x v="0"/>
    <s v="Female"/>
    <x v="3"/>
    <n v="50.25"/>
    <n v="6"/>
    <n v="15.08"/>
    <n v="316.58"/>
    <x v="41"/>
    <s v="10:10"/>
    <x v="0"/>
    <n v="301.5"/>
    <n v="4.7618999999999998"/>
    <n v="15.08"/>
    <n v="5.2"/>
  </r>
  <r>
    <x v="872"/>
    <x v="2"/>
    <s v="Yangon"/>
    <x v="1"/>
    <s v="Female"/>
    <x v="1"/>
    <n v="98.19"/>
    <n v="9"/>
    <n v="44.19"/>
    <n v="927.9"/>
    <x v="24"/>
    <s v="15:40"/>
    <x v="2"/>
    <n v="883.71"/>
    <n v="4.7618999999999998"/>
    <n v="44.19"/>
    <n v="6.5"/>
  </r>
  <r>
    <x v="873"/>
    <x v="2"/>
    <s v="Yangon"/>
    <x v="0"/>
    <s v="Male"/>
    <x v="1"/>
    <n v="95.16"/>
    <n v="9"/>
    <n v="42.82"/>
    <n v="899.26"/>
    <x v="60"/>
    <s v="20:40"/>
    <x v="1"/>
    <n v="856.44"/>
    <n v="4.7618999999999998"/>
    <n v="42.82"/>
    <n v="4.8"/>
  </r>
  <r>
    <x v="874"/>
    <x v="0"/>
    <s v="Naypyitaw"/>
    <x v="1"/>
    <s v="Male"/>
    <x v="3"/>
    <n v="58.44"/>
    <n v="4"/>
    <n v="11.69"/>
    <n v="245.45"/>
    <x v="81"/>
    <s v="11:50"/>
    <x v="2"/>
    <n v="233.76"/>
    <n v="4.7618999999999998"/>
    <n v="11.69"/>
    <n v="5.4"/>
  </r>
  <r>
    <x v="875"/>
    <x v="2"/>
    <s v="Yangon"/>
    <x v="1"/>
    <s v="Female"/>
    <x v="4"/>
    <n v="64.19"/>
    <n v="4"/>
    <n v="12.84"/>
    <n v="269.60000000000002"/>
    <x v="14"/>
    <s v="15:20"/>
    <x v="2"/>
    <n v="256.76"/>
    <n v="4.7618999999999998"/>
    <n v="12.84"/>
    <n v="8.4"/>
  </r>
  <r>
    <x v="876"/>
    <x v="2"/>
    <s v="Yangon"/>
    <x v="1"/>
    <s v="Male"/>
    <x v="2"/>
    <n v="68.48"/>
    <n v="3"/>
    <n v="10.27"/>
    <n v="215.71"/>
    <x v="7"/>
    <s v="17:05"/>
    <x v="1"/>
    <n v="205.44"/>
    <n v="4.7618999999999998"/>
    <n v="10.27"/>
    <n v="8.1"/>
  </r>
  <r>
    <x v="877"/>
    <x v="2"/>
    <s v="Yangon"/>
    <x v="0"/>
    <s v="Female"/>
    <x v="0"/>
    <n v="75.94"/>
    <n v="4"/>
    <n v="15.19"/>
    <n v="318.95"/>
    <x v="67"/>
    <s v="19:50"/>
    <x v="0"/>
    <n v="303.76"/>
    <n v="4.7618999999999998"/>
    <n v="15.19"/>
    <n v="8.9"/>
  </r>
  <r>
    <x v="878"/>
    <x v="2"/>
    <s v="Yangon"/>
    <x v="1"/>
    <s v="Female"/>
    <x v="5"/>
    <n v="99.32"/>
    <n v="7"/>
    <n v="34.76"/>
    <n v="730"/>
    <x v="79"/>
    <s v="10:45"/>
    <x v="2"/>
    <n v="695.24"/>
    <n v="4.7618999999999998"/>
    <n v="34.76"/>
    <n v="4.5"/>
  </r>
  <r>
    <x v="879"/>
    <x v="0"/>
    <s v="Naypyitaw"/>
    <x v="0"/>
    <s v="Male"/>
    <x v="1"/>
    <n v="39.64"/>
    <n v="2"/>
    <n v="3.96"/>
    <n v="83.24"/>
    <x v="53"/>
    <s v="15:20"/>
    <x v="2"/>
    <n v="79.28"/>
    <n v="4.7618999999999998"/>
    <n v="3.96"/>
    <n v="9.1999999999999993"/>
  </r>
  <r>
    <x v="880"/>
    <x v="1"/>
    <s v="Mandalay"/>
    <x v="0"/>
    <s v="Female"/>
    <x v="2"/>
    <n v="98.15"/>
    <n v="4"/>
    <n v="19.63"/>
    <n v="412.23"/>
    <x v="79"/>
    <s v="11:05"/>
    <x v="2"/>
    <n v="392.6"/>
    <n v="4.7618999999999998"/>
    <n v="19.63"/>
    <n v="7.2"/>
  </r>
  <r>
    <x v="881"/>
    <x v="1"/>
    <s v="Mandalay"/>
    <x v="1"/>
    <s v="Female"/>
    <x v="3"/>
    <n v="41.4"/>
    <n v="10"/>
    <n v="20.7"/>
    <n v="434.7"/>
    <x v="47"/>
    <s v="18:20"/>
    <x v="0"/>
    <n v="414"/>
    <n v="4.7618999999999998"/>
    <n v="20.7"/>
    <n v="4.5999999999999996"/>
  </r>
  <r>
    <x v="882"/>
    <x v="2"/>
    <s v="Yangon"/>
    <x v="1"/>
    <s v="Male"/>
    <x v="4"/>
    <n v="41.07"/>
    <n v="9"/>
    <n v="18.48"/>
    <n v="388.11"/>
    <x v="25"/>
    <s v="19:30"/>
    <x v="1"/>
    <n v="369.63"/>
    <n v="4.7618999999999998"/>
    <n v="18.48"/>
    <n v="7.6"/>
  </r>
  <r>
    <x v="883"/>
    <x v="2"/>
    <s v="Yangon"/>
    <x v="0"/>
    <s v="Female"/>
    <x v="4"/>
    <n v="44.09"/>
    <n v="5"/>
    <n v="11.02"/>
    <n v="231.47"/>
    <x v="73"/>
    <s v="20:25"/>
    <x v="0"/>
    <n v="220.45"/>
    <n v="4.7618999999999998"/>
    <n v="11.02"/>
    <n v="8.6999999999999993"/>
  </r>
  <r>
    <x v="884"/>
    <x v="0"/>
    <s v="Naypyitaw"/>
    <x v="1"/>
    <s v="Male"/>
    <x v="4"/>
    <n v="49.51"/>
    <n v="6"/>
    <n v="14.85"/>
    <n v="311.91000000000003"/>
    <x v="6"/>
    <s v="18:20"/>
    <x v="1"/>
    <n v="297.06"/>
    <n v="4.7618999999999998"/>
    <n v="14.85"/>
    <n v="9.6999999999999993"/>
  </r>
  <r>
    <x v="885"/>
    <x v="0"/>
    <s v="Naypyitaw"/>
    <x v="0"/>
    <s v="Male"/>
    <x v="0"/>
    <n v="87.21"/>
    <n v="5"/>
    <n v="21.8"/>
    <n v="457.85"/>
    <x v="29"/>
    <s v="15:05"/>
    <x v="0"/>
    <n v="436.05"/>
    <n v="4.7618999999999998"/>
    <n v="21.8"/>
    <n v="4.5"/>
  </r>
  <r>
    <x v="886"/>
    <x v="2"/>
    <s v="Yangon"/>
    <x v="0"/>
    <s v="Female"/>
    <x v="3"/>
    <n v="15.17"/>
    <n v="5"/>
    <n v="3.79"/>
    <n v="79.64"/>
    <x v="25"/>
    <s v="17:00"/>
    <x v="1"/>
    <n v="75.849999999999994"/>
    <n v="4.7618999999999998"/>
    <n v="3.79"/>
    <n v="8.1"/>
  </r>
  <r>
    <x v="887"/>
    <x v="2"/>
    <s v="Yangon"/>
    <x v="1"/>
    <s v="Male"/>
    <x v="3"/>
    <n v="71.66"/>
    <n v="9"/>
    <n v="32.25"/>
    <n v="677.19"/>
    <x v="41"/>
    <s v="16:00"/>
    <x v="0"/>
    <n v="644.94000000000005"/>
    <n v="4.7618999999999998"/>
    <n v="32.25"/>
    <n v="5.0999999999999996"/>
  </r>
  <r>
    <x v="888"/>
    <x v="0"/>
    <s v="Naypyitaw"/>
    <x v="0"/>
    <s v="Male"/>
    <x v="0"/>
    <n v="58.09"/>
    <n v="6"/>
    <n v="17.43"/>
    <n v="365.97"/>
    <x v="40"/>
    <s v="20:40"/>
    <x v="0"/>
    <n v="348.54"/>
    <n v="4.7618999999999998"/>
    <n v="17.43"/>
    <n v="7.7"/>
  </r>
  <r>
    <x v="889"/>
    <x v="1"/>
    <s v="Mandalay"/>
    <x v="0"/>
    <s v="Female"/>
    <x v="4"/>
    <n v="16.760000000000002"/>
    <n v="3"/>
    <n v="2.5099999999999998"/>
    <n v="52.79"/>
    <x v="9"/>
    <s v="15:00"/>
    <x v="1"/>
    <n v="50.28"/>
    <n v="4.7618999999999998"/>
    <n v="2.5099999999999998"/>
    <n v="7"/>
  </r>
  <r>
    <x v="890"/>
    <x v="1"/>
    <s v="Mandalay"/>
    <x v="0"/>
    <s v="Male"/>
    <x v="0"/>
    <n v="32.479999999999997"/>
    <n v="9"/>
    <n v="14.62"/>
    <n v="306.94"/>
    <x v="41"/>
    <s v="14:20"/>
    <x v="1"/>
    <n v="292.32"/>
    <n v="4.7618999999999998"/>
    <n v="14.62"/>
    <n v="5.8"/>
  </r>
  <r>
    <x v="891"/>
    <x v="2"/>
    <s v="Yangon"/>
    <x v="1"/>
    <s v="Female"/>
    <x v="5"/>
    <n v="93.62"/>
    <n v="9"/>
    <n v="42.13"/>
    <n v="884.71"/>
    <x v="52"/>
    <s v="17:45"/>
    <x v="1"/>
    <n v="842.58"/>
    <n v="4.7618999999999998"/>
    <n v="42.13"/>
    <n v="4.3"/>
  </r>
  <r>
    <x v="892"/>
    <x v="0"/>
    <s v="Naypyitaw"/>
    <x v="1"/>
    <s v="Male"/>
    <x v="5"/>
    <n v="41.85"/>
    <n v="1"/>
    <n v="2.09"/>
    <n v="43.94"/>
    <x v="66"/>
    <s v="12:30"/>
    <x v="1"/>
    <n v="41.85"/>
    <n v="4.7618999999999998"/>
    <n v="2.09"/>
    <n v="4.0999999999999996"/>
  </r>
  <r>
    <x v="893"/>
    <x v="1"/>
    <s v="Mandalay"/>
    <x v="0"/>
    <s v="Female"/>
    <x v="3"/>
    <n v="56.29"/>
    <n v="3"/>
    <n v="8.44"/>
    <n v="177.31"/>
    <x v="29"/>
    <s v="11:35"/>
    <x v="2"/>
    <n v="168.87"/>
    <n v="4.7618999999999998"/>
    <n v="8.44"/>
    <n v="4.9000000000000004"/>
  </r>
  <r>
    <x v="894"/>
    <x v="1"/>
    <s v="Mandalay"/>
    <x v="0"/>
    <s v="Male"/>
    <x v="2"/>
    <n v="43.69"/>
    <n v="6"/>
    <n v="13.11"/>
    <n v="275.25"/>
    <x v="84"/>
    <s v="12:40"/>
    <x v="1"/>
    <n v="262.14"/>
    <n v="4.7618999999999998"/>
    <n v="13.11"/>
    <n v="4.7"/>
  </r>
  <r>
    <x v="895"/>
    <x v="0"/>
    <s v="Naypyitaw"/>
    <x v="1"/>
    <s v="Female"/>
    <x v="4"/>
    <n v="41.84"/>
    <n v="7"/>
    <n v="14.64"/>
    <n v="307.52"/>
    <x v="78"/>
    <s v="15:55"/>
    <x v="2"/>
    <n v="292.88"/>
    <n v="4.7618999999999998"/>
    <n v="14.64"/>
    <n v="4.7"/>
  </r>
  <r>
    <x v="896"/>
    <x v="2"/>
    <s v="Yangon"/>
    <x v="0"/>
    <s v="Male"/>
    <x v="2"/>
    <n v="76.95"/>
    <n v="1"/>
    <n v="3.85"/>
    <n v="80.8"/>
    <x v="2"/>
    <s v="20:15"/>
    <x v="1"/>
    <n v="76.95"/>
    <n v="4.7618999999999998"/>
    <n v="3.85"/>
    <n v="9.8000000000000007"/>
  </r>
  <r>
    <x v="897"/>
    <x v="2"/>
    <s v="Yangon"/>
    <x v="1"/>
    <s v="Male"/>
    <x v="3"/>
    <n v="54.6"/>
    <n v="3"/>
    <n v="8.19"/>
    <n v="171.99"/>
    <x v="59"/>
    <s v="16:40"/>
    <x v="0"/>
    <n v="163.80000000000001"/>
    <n v="4.7618999999999998"/>
    <n v="8.19"/>
    <n v="9.5"/>
  </r>
  <r>
    <x v="898"/>
    <x v="1"/>
    <s v="Mandalay"/>
    <x v="0"/>
    <s v="Female"/>
    <x v="1"/>
    <n v="81.34"/>
    <n v="3"/>
    <n v="12.2"/>
    <n v="256.22000000000003"/>
    <x v="82"/>
    <s v="15:40"/>
    <x v="2"/>
    <n v="244.02"/>
    <n v="4.7618999999999998"/>
    <n v="12.2"/>
    <n v="8.6"/>
  </r>
  <r>
    <x v="899"/>
    <x v="2"/>
    <s v="Yangon"/>
    <x v="1"/>
    <s v="Male"/>
    <x v="3"/>
    <n v="76.37"/>
    <n v="7"/>
    <n v="26.73"/>
    <n v="561.32000000000005"/>
    <x v="76"/>
    <s v="14:20"/>
    <x v="1"/>
    <n v="534.59"/>
    <n v="4.7618999999999998"/>
    <n v="26.73"/>
    <n v="4.5"/>
  </r>
  <r>
    <x v="900"/>
    <x v="2"/>
    <s v="Yangon"/>
    <x v="0"/>
    <s v="Female"/>
    <x v="4"/>
    <n v="35.299999999999997"/>
    <n v="2"/>
    <n v="3.53"/>
    <n v="74.13"/>
    <x v="20"/>
    <s v="13:50"/>
    <x v="1"/>
    <n v="70.599999999999994"/>
    <n v="4.7618999999999998"/>
    <n v="3.53"/>
    <n v="5.2"/>
  </r>
  <r>
    <x v="901"/>
    <x v="2"/>
    <s v="Yangon"/>
    <x v="0"/>
    <s v="Female"/>
    <x v="3"/>
    <n v="66.599999999999994"/>
    <n v="3"/>
    <n v="9.99"/>
    <n v="209.79"/>
    <x v="57"/>
    <s v="11:10"/>
    <x v="1"/>
    <n v="199.8"/>
    <n v="4.7618999999999998"/>
    <n v="9.99"/>
    <n v="4.2"/>
  </r>
  <r>
    <x v="902"/>
    <x v="2"/>
    <s v="Yangon"/>
    <x v="1"/>
    <s v="Female"/>
    <x v="3"/>
    <n v="27.97"/>
    <n v="1"/>
    <n v="1.4"/>
    <n v="29.37"/>
    <x v="79"/>
    <s v="16:40"/>
    <x v="1"/>
    <n v="27.97"/>
    <n v="4.7618999999999998"/>
    <n v="1.4"/>
    <n v="8.1999999999999993"/>
  </r>
  <r>
    <x v="903"/>
    <x v="2"/>
    <s v="Yangon"/>
    <x v="1"/>
    <s v="Male"/>
    <x v="2"/>
    <n v="15.52"/>
    <n v="7"/>
    <n v="5.43"/>
    <n v="114.07"/>
    <x v="80"/>
    <s v="10:20"/>
    <x v="2"/>
    <n v="108.64"/>
    <n v="4.7618999999999998"/>
    <n v="5.43"/>
    <n v="5.6"/>
  </r>
  <r>
    <x v="904"/>
    <x v="1"/>
    <s v="Mandalay"/>
    <x v="1"/>
    <s v="Female"/>
    <x v="5"/>
    <n v="90.56"/>
    <n v="3"/>
    <n v="13.58"/>
    <n v="285.26"/>
    <x v="55"/>
    <s v="10:00"/>
    <x v="0"/>
    <n v="271.68"/>
    <n v="4.7618999999999998"/>
    <n v="13.58"/>
    <n v="8.5"/>
  </r>
  <r>
    <x v="905"/>
    <x v="1"/>
    <s v="Mandalay"/>
    <x v="1"/>
    <s v="Male"/>
    <x v="3"/>
    <n v="19.07"/>
    <n v="3"/>
    <n v="2.86"/>
    <n v="60.07"/>
    <x v="39"/>
    <s v="17:25"/>
    <x v="1"/>
    <n v="57.21"/>
    <n v="4.7618999999999998"/>
    <n v="2.86"/>
    <n v="5.8"/>
  </r>
  <r>
    <x v="906"/>
    <x v="0"/>
    <s v="Naypyitaw"/>
    <x v="0"/>
    <s v="Female"/>
    <x v="5"/>
    <n v="42.45"/>
    <n v="6"/>
    <n v="12.73"/>
    <n v="267.43"/>
    <x v="14"/>
    <s v="18:45"/>
    <x v="1"/>
    <n v="254.7"/>
    <n v="4.7618999999999998"/>
    <n v="12.73"/>
    <n v="5.4"/>
  </r>
  <r>
    <x v="907"/>
    <x v="2"/>
    <s v="Yangon"/>
    <x v="1"/>
    <s v="Female"/>
    <x v="1"/>
    <n v="21.74"/>
    <n v="10"/>
    <n v="10.87"/>
    <n v="228.27"/>
    <x v="41"/>
    <s v="10:45"/>
    <x v="0"/>
    <n v="217.4"/>
    <n v="4.7618999999999998"/>
    <n v="10.87"/>
    <n v="8.9"/>
  </r>
  <r>
    <x v="908"/>
    <x v="0"/>
    <s v="Naypyitaw"/>
    <x v="1"/>
    <s v="Female"/>
    <x v="1"/>
    <n v="94.76"/>
    <n v="10"/>
    <n v="47.38"/>
    <n v="994.98"/>
    <x v="54"/>
    <s v="14:55"/>
    <x v="1"/>
    <n v="947.6"/>
    <n v="4.7618999999999998"/>
    <n v="47.38"/>
    <n v="9.9"/>
  </r>
  <r>
    <x v="909"/>
    <x v="0"/>
    <s v="Naypyitaw"/>
    <x v="0"/>
    <s v="Female"/>
    <x v="4"/>
    <n v="27.25"/>
    <n v="9"/>
    <n v="12.26"/>
    <n v="257.51"/>
    <x v="39"/>
    <s v="18:25"/>
    <x v="1"/>
    <n v="245.25"/>
    <n v="4.7618999999999998"/>
    <n v="12.26"/>
    <n v="6.7"/>
  </r>
  <r>
    <x v="910"/>
    <x v="2"/>
    <s v="Yangon"/>
    <x v="1"/>
    <s v="Female"/>
    <x v="2"/>
    <n v="47.71"/>
    <n v="9"/>
    <n v="21.47"/>
    <n v="450.86"/>
    <x v="37"/>
    <s v="12:45"/>
    <x v="1"/>
    <n v="429.39"/>
    <n v="4.7618999999999998"/>
    <n v="21.47"/>
    <n v="8.1999999999999993"/>
  </r>
  <r>
    <x v="911"/>
    <x v="1"/>
    <s v="Mandalay"/>
    <x v="0"/>
    <s v="Female"/>
    <x v="0"/>
    <n v="27.12"/>
    <n v="7"/>
    <n v="9.49"/>
    <n v="199.33"/>
    <x v="85"/>
    <s v="20:40"/>
    <x v="0"/>
    <n v="189.84"/>
    <n v="4.7618999999999998"/>
    <n v="9.49"/>
    <n v="9.8000000000000007"/>
  </r>
  <r>
    <x v="912"/>
    <x v="1"/>
    <s v="Mandalay"/>
    <x v="1"/>
    <s v="Male"/>
    <x v="2"/>
    <n v="64.650000000000006"/>
    <n v="4"/>
    <n v="12.93"/>
    <n v="271.52999999999997"/>
    <x v="18"/>
    <s v="10:10"/>
    <x v="0"/>
    <n v="258.60000000000002"/>
    <n v="4.7618999999999998"/>
    <n v="12.93"/>
    <n v="5.3"/>
  </r>
  <r>
    <x v="913"/>
    <x v="2"/>
    <s v="Yangon"/>
    <x v="1"/>
    <s v="Male"/>
    <x v="5"/>
    <n v="86.72"/>
    <n v="5"/>
    <n v="21.68"/>
    <n v="455.28"/>
    <x v="48"/>
    <s v="18:05"/>
    <x v="2"/>
    <n v="433.6"/>
    <n v="4.7618999999999998"/>
    <n v="21.68"/>
    <n v="5.3"/>
  </r>
  <r>
    <x v="914"/>
    <x v="2"/>
    <s v="Yangon"/>
    <x v="1"/>
    <s v="Female"/>
    <x v="0"/>
    <n v="23.33"/>
    <n v="5"/>
    <n v="5.83"/>
    <n v="122.48"/>
    <x v="0"/>
    <s v="14:00"/>
    <x v="0"/>
    <n v="116.65"/>
    <n v="4.7618999999999998"/>
    <n v="5.83"/>
    <n v="9.9"/>
  </r>
  <r>
    <x v="915"/>
    <x v="2"/>
    <s v="Yangon"/>
    <x v="0"/>
    <s v="Female"/>
    <x v="0"/>
    <n v="41.27"/>
    <n v="10"/>
    <n v="20.64"/>
    <n v="433.34"/>
    <x v="67"/>
    <s v="15:05"/>
    <x v="0"/>
    <n v="412.7"/>
    <n v="4.7618999999999998"/>
    <n v="20.64"/>
    <n v="9.3000000000000007"/>
  </r>
  <r>
    <x v="916"/>
    <x v="0"/>
    <s v="Naypyitaw"/>
    <x v="0"/>
    <s v="Male"/>
    <x v="3"/>
    <n v="36.54"/>
    <n v="1"/>
    <n v="1.83"/>
    <n v="38.369999999999997"/>
    <x v="58"/>
    <s v="10:25"/>
    <x v="2"/>
    <n v="36.54"/>
    <n v="4.7618999999999998"/>
    <n v="1.83"/>
    <n v="8.4"/>
  </r>
  <r>
    <x v="917"/>
    <x v="2"/>
    <s v="Yangon"/>
    <x v="1"/>
    <s v="Female"/>
    <x v="3"/>
    <n v="69.16"/>
    <n v="10"/>
    <n v="34.58"/>
    <n v="726.18"/>
    <x v="42"/>
    <s v="16:50"/>
    <x v="1"/>
    <n v="691.6"/>
    <n v="4.7618999999999998"/>
    <n v="34.58"/>
    <n v="9.1999999999999993"/>
  </r>
  <r>
    <x v="918"/>
    <x v="0"/>
    <s v="Naypyitaw"/>
    <x v="0"/>
    <s v="Male"/>
    <x v="4"/>
    <n v="39.18"/>
    <n v="4"/>
    <n v="7.84"/>
    <n v="164.56"/>
    <x v="21"/>
    <s v="20:30"/>
    <x v="2"/>
    <n v="156.72"/>
    <n v="4.7618999999999998"/>
    <n v="7.84"/>
    <n v="6.7"/>
  </r>
  <r>
    <x v="919"/>
    <x v="0"/>
    <s v="Naypyitaw"/>
    <x v="1"/>
    <s v="Male"/>
    <x v="4"/>
    <n v="91.2"/>
    <n v="2"/>
    <n v="9.1199999999999992"/>
    <n v="191.52"/>
    <x v="85"/>
    <s v="12:35"/>
    <x v="2"/>
    <n v="182.4"/>
    <n v="4.7618999999999998"/>
    <n v="9.1199999999999992"/>
    <n v="8.9"/>
  </r>
  <r>
    <x v="920"/>
    <x v="2"/>
    <s v="Yangon"/>
    <x v="1"/>
    <s v="Female"/>
    <x v="0"/>
    <n v="35.380000000000003"/>
    <n v="5"/>
    <n v="8.85"/>
    <n v="185.75"/>
    <x v="2"/>
    <s v="12:30"/>
    <x v="0"/>
    <n v="176.9"/>
    <n v="4.7618999999999998"/>
    <n v="8.85"/>
    <n v="7.6"/>
  </r>
  <r>
    <x v="921"/>
    <x v="2"/>
    <s v="Yangon"/>
    <x v="0"/>
    <s v="Male"/>
    <x v="4"/>
    <n v="50.95"/>
    <n v="7"/>
    <n v="17.829999999999998"/>
    <n v="374.48"/>
    <x v="75"/>
    <s v="18:10"/>
    <x v="0"/>
    <n v="356.65"/>
    <n v="4.7618999999999998"/>
    <n v="17.829999999999998"/>
    <n v="8.5"/>
  </r>
  <r>
    <x v="922"/>
    <x v="0"/>
    <s v="Naypyitaw"/>
    <x v="0"/>
    <s v="Male"/>
    <x v="2"/>
    <n v="11.86"/>
    <n v="1"/>
    <n v="0.59"/>
    <n v="12.45"/>
    <x v="80"/>
    <s v="10:10"/>
    <x v="2"/>
    <n v="11.86"/>
    <n v="4.7618999999999998"/>
    <n v="0.59"/>
    <n v="8.6"/>
  </r>
  <r>
    <x v="923"/>
    <x v="2"/>
    <s v="Yangon"/>
    <x v="0"/>
    <s v="Female"/>
    <x v="1"/>
    <n v="58.81"/>
    <n v="6"/>
    <n v="17.64"/>
    <n v="370.5"/>
    <x v="22"/>
    <s v="13:10"/>
    <x v="1"/>
    <n v="352.86"/>
    <n v="4.7618999999999998"/>
    <n v="17.64"/>
    <n v="8.6"/>
  </r>
  <r>
    <x v="924"/>
    <x v="2"/>
    <s v="Yangon"/>
    <x v="1"/>
    <s v="Male"/>
    <x v="2"/>
    <n v="23.91"/>
    <n v="1"/>
    <n v="1.2"/>
    <n v="25.11"/>
    <x v="63"/>
    <s v="14:50"/>
    <x v="0"/>
    <n v="23.91"/>
    <n v="4.7618999999999998"/>
    <n v="1.2"/>
    <n v="4.7"/>
  </r>
  <r>
    <x v="925"/>
    <x v="2"/>
    <s v="Yangon"/>
    <x v="0"/>
    <s v="Male"/>
    <x v="1"/>
    <n v="56.04"/>
    <n v="7"/>
    <n v="19.61"/>
    <n v="411.89"/>
    <x v="8"/>
    <s v="10:15"/>
    <x v="2"/>
    <n v="392.28"/>
    <n v="4.7618999999999998"/>
    <n v="19.61"/>
    <n v="5.4"/>
  </r>
  <r>
    <x v="926"/>
    <x v="2"/>
    <s v="Yangon"/>
    <x v="1"/>
    <s v="Male"/>
    <x v="4"/>
    <n v="92.95"/>
    <n v="7"/>
    <n v="32.53"/>
    <n v="683.18"/>
    <x v="65"/>
    <s v="11:35"/>
    <x v="2"/>
    <n v="650.65"/>
    <n v="4.7618999999999998"/>
    <n v="32.53"/>
    <n v="9.9"/>
  </r>
  <r>
    <x v="927"/>
    <x v="2"/>
    <s v="Yangon"/>
    <x v="1"/>
    <s v="Male"/>
    <x v="1"/>
    <n v="65.41"/>
    <n v="2"/>
    <n v="6.54"/>
    <n v="137.36000000000001"/>
    <x v="53"/>
    <s v="11:00"/>
    <x v="0"/>
    <n v="130.82"/>
    <n v="4.7618999999999998"/>
    <n v="6.54"/>
    <n v="4.9000000000000004"/>
  </r>
  <r>
    <x v="928"/>
    <x v="0"/>
    <s v="Naypyitaw"/>
    <x v="1"/>
    <s v="Female"/>
    <x v="0"/>
    <n v="48.27"/>
    <n v="5"/>
    <n v="12.07"/>
    <n v="253.42"/>
    <x v="34"/>
    <s v="14:25"/>
    <x v="2"/>
    <n v="241.35"/>
    <n v="4.7618999999999998"/>
    <n v="12.07"/>
    <n v="5.6"/>
  </r>
  <r>
    <x v="929"/>
    <x v="0"/>
    <s v="Naypyitaw"/>
    <x v="1"/>
    <s v="Male"/>
    <x v="0"/>
    <n v="81.88"/>
    <n v="1"/>
    <n v="4.09"/>
    <n v="85.97"/>
    <x v="82"/>
    <s v="20:10"/>
    <x v="1"/>
    <n v="81.88"/>
    <n v="4.7618999999999998"/>
    <n v="4.09"/>
    <n v="4.9000000000000004"/>
  </r>
  <r>
    <x v="930"/>
    <x v="0"/>
    <s v="Naypyitaw"/>
    <x v="1"/>
    <s v="Female"/>
    <x v="1"/>
    <n v="62.01"/>
    <n v="5"/>
    <n v="15.5"/>
    <n v="325.55"/>
    <x v="8"/>
    <s v="11:25"/>
    <x v="2"/>
    <n v="310.05"/>
    <n v="4.7618999999999998"/>
    <n v="15.5"/>
    <n v="5.0999999999999996"/>
  </r>
  <r>
    <x v="931"/>
    <x v="1"/>
    <s v="Mandalay"/>
    <x v="1"/>
    <s v="Male"/>
    <x v="2"/>
    <n v="53.32"/>
    <n v="7"/>
    <n v="18.66"/>
    <n v="391.9"/>
    <x v="3"/>
    <s v="20:25"/>
    <x v="2"/>
    <n v="373.24"/>
    <n v="4.7618999999999998"/>
    <n v="18.66"/>
    <n v="8.8000000000000007"/>
  </r>
  <r>
    <x v="932"/>
    <x v="2"/>
    <s v="Yangon"/>
    <x v="1"/>
    <s v="Male"/>
    <x v="3"/>
    <n v="54.74"/>
    <n v="9"/>
    <n v="24.63"/>
    <n v="517.29"/>
    <x v="85"/>
    <s v="18:40"/>
    <x v="2"/>
    <n v="492.66"/>
    <n v="4.7618999999999998"/>
    <n v="24.63"/>
    <n v="6.3"/>
  </r>
  <r>
    <x v="933"/>
    <x v="0"/>
    <s v="Naypyitaw"/>
    <x v="1"/>
    <s v="Female"/>
    <x v="0"/>
    <n v="17.850000000000001"/>
    <n v="6"/>
    <n v="5.36"/>
    <n v="112.46"/>
    <x v="78"/>
    <s v="13:00"/>
    <x v="1"/>
    <n v="107.1"/>
    <n v="4.7618999999999998"/>
    <n v="5.36"/>
    <n v="7.4"/>
  </r>
  <r>
    <x v="934"/>
    <x v="2"/>
    <s v="Yangon"/>
    <x v="0"/>
    <s v="Male"/>
    <x v="5"/>
    <n v="86.39"/>
    <n v="3"/>
    <n v="12.96"/>
    <n v="272.13"/>
    <x v="60"/>
    <s v="17:10"/>
    <x v="0"/>
    <n v="259.17"/>
    <n v="4.7618999999999998"/>
    <n v="12.96"/>
    <n v="9.8000000000000007"/>
  </r>
  <r>
    <x v="935"/>
    <x v="2"/>
    <s v="Yangon"/>
    <x v="0"/>
    <s v="Female"/>
    <x v="1"/>
    <n v="77.23"/>
    <n v="2"/>
    <n v="7.72"/>
    <n v="162.18"/>
    <x v="8"/>
    <s v="16:55"/>
    <x v="2"/>
    <n v="154.46"/>
    <n v="4.7618999999999998"/>
    <n v="7.72"/>
    <n v="8.1999999999999993"/>
  </r>
  <r>
    <x v="936"/>
    <x v="1"/>
    <s v="Mandalay"/>
    <x v="0"/>
    <s v="Female"/>
    <x v="0"/>
    <n v="62.34"/>
    <n v="8"/>
    <n v="24.94"/>
    <n v="523.66"/>
    <x v="10"/>
    <s v="12:00"/>
    <x v="2"/>
    <n v="498.72"/>
    <n v="4.7618999999999998"/>
    <n v="24.94"/>
    <n v="6.2"/>
  </r>
  <r>
    <x v="937"/>
    <x v="2"/>
    <s v="Yangon"/>
    <x v="0"/>
    <s v="Female"/>
    <x v="3"/>
    <n v="84.8"/>
    <n v="7"/>
    <n v="29.68"/>
    <n v="623.28"/>
    <x v="82"/>
    <s v="12:35"/>
    <x v="0"/>
    <n v="593.6"/>
    <n v="4.7618999999999998"/>
    <n v="29.68"/>
    <n v="4.8"/>
  </r>
  <r>
    <x v="938"/>
    <x v="0"/>
    <s v="Naypyitaw"/>
    <x v="1"/>
    <s v="Male"/>
    <x v="2"/>
    <n v="75.03"/>
    <n v="8"/>
    <n v="30.01"/>
    <n v="630.25"/>
    <x v="80"/>
    <s v="10:20"/>
    <x v="2"/>
    <n v="600.24"/>
    <n v="4.7618999999999998"/>
    <n v="30.01"/>
    <n v="4.9000000000000004"/>
  </r>
  <r>
    <x v="939"/>
    <x v="2"/>
    <s v="Yangon"/>
    <x v="0"/>
    <s v="Female"/>
    <x v="1"/>
    <n v="45.68"/>
    <n v="7"/>
    <n v="15.99"/>
    <n v="335.75"/>
    <x v="65"/>
    <s v="17:40"/>
    <x v="0"/>
    <n v="319.76"/>
    <n v="4.7618999999999998"/>
    <n v="15.99"/>
    <n v="9"/>
  </r>
  <r>
    <x v="940"/>
    <x v="0"/>
    <s v="Naypyitaw"/>
    <x v="1"/>
    <s v="Female"/>
    <x v="2"/>
    <n v="93.83"/>
    <n v="5"/>
    <n v="23.46"/>
    <n v="492.61"/>
    <x v="19"/>
    <s v="18:30"/>
    <x v="2"/>
    <n v="469.15"/>
    <n v="4.7618999999999998"/>
    <n v="23.46"/>
    <n v="8.5"/>
  </r>
  <r>
    <x v="941"/>
    <x v="0"/>
    <s v="Naypyitaw"/>
    <x v="0"/>
    <s v="Female"/>
    <x v="2"/>
    <n v="26.53"/>
    <n v="9"/>
    <n v="11.94"/>
    <n v="250.71"/>
    <x v="3"/>
    <s v="11:55"/>
    <x v="1"/>
    <n v="238.77"/>
    <n v="4.7618999999999998"/>
    <n v="11.94"/>
    <n v="6.9"/>
  </r>
  <r>
    <x v="942"/>
    <x v="0"/>
    <s v="Naypyitaw"/>
    <x v="1"/>
    <s v="Male"/>
    <x v="4"/>
    <n v="14.92"/>
    <n v="6"/>
    <n v="4.4800000000000004"/>
    <n v="94"/>
    <x v="80"/>
    <s v="16:15"/>
    <x v="1"/>
    <n v="89.52"/>
    <n v="4.7618999999999998"/>
    <n v="4.4800000000000004"/>
    <n v="4.7"/>
  </r>
  <r>
    <x v="943"/>
    <x v="1"/>
    <s v="Mandalay"/>
    <x v="1"/>
    <s v="Female"/>
    <x v="4"/>
    <n v="35.4"/>
    <n v="9"/>
    <n v="15.93"/>
    <n v="334.53"/>
    <x v="42"/>
    <s v="11:15"/>
    <x v="0"/>
    <n v="318.60000000000002"/>
    <n v="4.7618999999999998"/>
    <n v="15.93"/>
    <n v="4.0999999999999996"/>
  </r>
  <r>
    <x v="944"/>
    <x v="2"/>
    <s v="Yangon"/>
    <x v="0"/>
    <s v="Female"/>
    <x v="4"/>
    <n v="34.229999999999997"/>
    <n v="10"/>
    <n v="17.12"/>
    <n v="359.42"/>
    <x v="86"/>
    <s v="10:45"/>
    <x v="1"/>
    <n v="342.3"/>
    <n v="4.7618999999999998"/>
    <n v="17.12"/>
    <n v="4.3"/>
  </r>
  <r>
    <x v="945"/>
    <x v="2"/>
    <s v="Yangon"/>
    <x v="1"/>
    <s v="Female"/>
    <x v="5"/>
    <n v="77.650000000000006"/>
    <n v="7"/>
    <n v="27.18"/>
    <n v="570.73"/>
    <x v="1"/>
    <s v="13:25"/>
    <x v="1"/>
    <n v="543.54999999999995"/>
    <n v="4.7618999999999998"/>
    <n v="27.18"/>
    <n v="8.4"/>
  </r>
  <r>
    <x v="946"/>
    <x v="0"/>
    <s v="Naypyitaw"/>
    <x v="0"/>
    <s v="Male"/>
    <x v="2"/>
    <n v="90.69"/>
    <n v="9"/>
    <n v="40.81"/>
    <n v="857.02"/>
    <x v="75"/>
    <s v="18:10"/>
    <x v="2"/>
    <n v="816.21"/>
    <n v="4.7618999999999998"/>
    <n v="40.81"/>
    <n v="7.5"/>
  </r>
  <r>
    <x v="947"/>
    <x v="1"/>
    <s v="Mandalay"/>
    <x v="0"/>
    <s v="Male"/>
    <x v="4"/>
    <n v="23.64"/>
    <n v="8"/>
    <n v="9.4600000000000009"/>
    <n v="198.58"/>
    <x v="22"/>
    <s v="20:05"/>
    <x v="0"/>
    <n v="189.12"/>
    <n v="4.7618999999999998"/>
    <n v="9.4600000000000009"/>
    <n v="5.4"/>
  </r>
  <r>
    <x v="948"/>
    <x v="0"/>
    <s v="Naypyitaw"/>
    <x v="0"/>
    <s v="Female"/>
    <x v="3"/>
    <n v="56.47"/>
    <n v="10"/>
    <n v="28.24"/>
    <n v="592.94000000000005"/>
    <x v="62"/>
    <s v="18:25"/>
    <x v="1"/>
    <n v="564.70000000000005"/>
    <n v="4.7618999999999998"/>
    <n v="28.24"/>
    <n v="8.6999999999999993"/>
  </r>
  <r>
    <x v="949"/>
    <x v="1"/>
    <s v="Mandalay"/>
    <x v="1"/>
    <s v="Male"/>
    <x v="1"/>
    <n v="90.16"/>
    <n v="7"/>
    <n v="31.56"/>
    <n v="662.68"/>
    <x v="35"/>
    <s v="13:45"/>
    <x v="0"/>
    <n v="631.12"/>
    <n v="4.7618999999999998"/>
    <n v="31.56"/>
    <n v="4.4000000000000004"/>
  </r>
  <r>
    <x v="950"/>
    <x v="0"/>
    <s v="Naypyitaw"/>
    <x v="1"/>
    <s v="Female"/>
    <x v="1"/>
    <n v="22.84"/>
    <n v="5"/>
    <n v="5.71"/>
    <n v="119.91"/>
    <x v="25"/>
    <s v="11:35"/>
    <x v="2"/>
    <n v="114.2"/>
    <n v="4.7618999999999998"/>
    <n v="5.71"/>
    <n v="6.7"/>
  </r>
  <r>
    <x v="951"/>
    <x v="1"/>
    <s v="Mandalay"/>
    <x v="0"/>
    <s v="Female"/>
    <x v="5"/>
    <n v="61.89"/>
    <n v="6"/>
    <n v="18.57"/>
    <n v="389.91"/>
    <x v="19"/>
    <s v="11:10"/>
    <x v="0"/>
    <n v="371.34"/>
    <n v="4.7618999999999998"/>
    <n v="18.57"/>
    <n v="8.6"/>
  </r>
  <r>
    <x v="952"/>
    <x v="1"/>
    <s v="Mandalay"/>
    <x v="1"/>
    <s v="Male"/>
    <x v="0"/>
    <n v="93.17"/>
    <n v="2"/>
    <n v="9.32"/>
    <n v="195.66"/>
    <x v="86"/>
    <s v="17:00"/>
    <x v="1"/>
    <n v="186.34"/>
    <n v="4.7618999999999998"/>
    <n v="9.32"/>
    <n v="9.1999999999999993"/>
  </r>
  <r>
    <x v="953"/>
    <x v="1"/>
    <s v="Mandalay"/>
    <x v="0"/>
    <s v="Male"/>
    <x v="5"/>
    <n v="56.12"/>
    <n v="10"/>
    <n v="28.06"/>
    <n v="589.26"/>
    <x v="56"/>
    <s v="15:05"/>
    <x v="0"/>
    <n v="561.20000000000005"/>
    <n v="4.7618999999999998"/>
    <n v="28.06"/>
    <n v="6.5"/>
  </r>
  <r>
    <x v="954"/>
    <x v="1"/>
    <s v="Mandalay"/>
    <x v="0"/>
    <s v="Female"/>
    <x v="0"/>
    <n v="81.150000000000006"/>
    <n v="9"/>
    <n v="36.520000000000003"/>
    <n v="766.87"/>
    <x v="77"/>
    <s v="12:05"/>
    <x v="1"/>
    <n v="730.35"/>
    <n v="4.7618999999999998"/>
    <n v="36.520000000000003"/>
    <n v="6.3"/>
  </r>
  <r>
    <x v="955"/>
    <x v="1"/>
    <s v="Mandalay"/>
    <x v="0"/>
    <s v="Female"/>
    <x v="2"/>
    <n v="88.67"/>
    <n v="2"/>
    <n v="8.8699999999999992"/>
    <n v="186.21"/>
    <x v="66"/>
    <s v="17:35"/>
    <x v="0"/>
    <n v="177.34"/>
    <n v="4.7618999999999998"/>
    <n v="8.8699999999999992"/>
    <n v="7.2"/>
  </r>
  <r>
    <x v="956"/>
    <x v="1"/>
    <s v="Mandalay"/>
    <x v="0"/>
    <s v="Female"/>
    <x v="4"/>
    <n v="75.86"/>
    <n v="7"/>
    <n v="26.55"/>
    <n v="557.57000000000005"/>
    <x v="11"/>
    <s v="13:30"/>
    <x v="1"/>
    <n v="531.02"/>
    <n v="4.7618999999999998"/>
    <n v="26.55"/>
    <n v="4.4000000000000004"/>
  </r>
  <r>
    <x v="957"/>
    <x v="0"/>
    <s v="Naypyitaw"/>
    <x v="1"/>
    <s v="Female"/>
    <x v="0"/>
    <n v="76.72"/>
    <n v="2"/>
    <n v="7.67"/>
    <n v="161.11000000000001"/>
    <x v="31"/>
    <s v="17:00"/>
    <x v="0"/>
    <n v="153.44"/>
    <n v="4.7618999999999998"/>
    <n v="7.67"/>
    <n v="4.9000000000000004"/>
  </r>
  <r>
    <x v="958"/>
    <x v="2"/>
    <s v="Yangon"/>
    <x v="0"/>
    <s v="Male"/>
    <x v="3"/>
    <n v="12.82"/>
    <n v="10"/>
    <n v="6.41"/>
    <n v="134.61000000000001"/>
    <x v="79"/>
    <s v="10:25"/>
    <x v="1"/>
    <n v="128.19999999999999"/>
    <n v="4.7618999999999998"/>
    <n v="6.41"/>
    <n v="9.9"/>
  </r>
  <r>
    <x v="959"/>
    <x v="2"/>
    <s v="Yangon"/>
    <x v="0"/>
    <s v="Female"/>
    <x v="0"/>
    <n v="48.06"/>
    <n v="5"/>
    <n v="12.02"/>
    <n v="252.32"/>
    <x v="5"/>
    <s v="12:05"/>
    <x v="2"/>
    <n v="240.3"/>
    <n v="4.7618999999999998"/>
    <n v="12.02"/>
    <n v="4.4000000000000004"/>
  </r>
  <r>
    <x v="960"/>
    <x v="2"/>
    <s v="Yangon"/>
    <x v="1"/>
    <s v="Male"/>
    <x v="2"/>
    <n v="57.23"/>
    <n v="5"/>
    <n v="14.31"/>
    <n v="300.45999999999998"/>
    <x v="18"/>
    <s v="10:05"/>
    <x v="1"/>
    <n v="286.14999999999998"/>
    <n v="4.7618999999999998"/>
    <n v="14.31"/>
    <n v="6.1"/>
  </r>
  <r>
    <x v="961"/>
    <x v="1"/>
    <s v="Mandalay"/>
    <x v="0"/>
    <s v="Female"/>
    <x v="5"/>
    <n v="94.77"/>
    <n v="8"/>
    <n v="37.909999999999997"/>
    <n v="796.07"/>
    <x v="50"/>
    <s v="18:55"/>
    <x v="2"/>
    <n v="758.16"/>
    <n v="4.7618999999999998"/>
    <n v="37.909999999999997"/>
    <n v="9.8000000000000007"/>
  </r>
  <r>
    <x v="962"/>
    <x v="1"/>
    <s v="Mandalay"/>
    <x v="1"/>
    <s v="Female"/>
    <x v="3"/>
    <n v="80.48"/>
    <n v="10"/>
    <n v="40.24"/>
    <n v="845.04"/>
    <x v="30"/>
    <s v="11:55"/>
    <x v="0"/>
    <n v="804.8"/>
    <n v="4.7618999999999998"/>
    <n v="40.24"/>
    <n v="7.5"/>
  </r>
  <r>
    <x v="963"/>
    <x v="1"/>
    <s v="Mandalay"/>
    <x v="1"/>
    <s v="Female"/>
    <x v="4"/>
    <n v="90.69"/>
    <n v="3"/>
    <n v="13.6"/>
    <n v="285.67"/>
    <x v="85"/>
    <s v="15:05"/>
    <x v="0"/>
    <n v="272.07"/>
    <n v="4.7618999999999998"/>
    <n v="13.6"/>
    <n v="6.4"/>
  </r>
  <r>
    <x v="964"/>
    <x v="0"/>
    <s v="Naypyitaw"/>
    <x v="0"/>
    <s v="Male"/>
    <x v="4"/>
    <n v="67.09"/>
    <n v="10"/>
    <n v="33.549999999999997"/>
    <n v="704.45"/>
    <x v="75"/>
    <s v="10:15"/>
    <x v="0"/>
    <n v="670.9"/>
    <n v="4.7618999999999998"/>
    <n v="33.549999999999997"/>
    <n v="9.9"/>
  </r>
  <r>
    <x v="965"/>
    <x v="0"/>
    <s v="Naypyitaw"/>
    <x v="0"/>
    <s v="Male"/>
    <x v="4"/>
    <n v="41.33"/>
    <n v="4"/>
    <n v="8.27"/>
    <n v="173.59"/>
    <x v="61"/>
    <s v="19:00"/>
    <x v="1"/>
    <n v="165.32"/>
    <n v="4.7618999999999998"/>
    <n v="8.27"/>
    <n v="8.9"/>
  </r>
  <r>
    <x v="966"/>
    <x v="1"/>
    <s v="Mandalay"/>
    <x v="1"/>
    <s v="Female"/>
    <x v="0"/>
    <n v="54.92"/>
    <n v="8"/>
    <n v="21.97"/>
    <n v="461.33"/>
    <x v="29"/>
    <s v="16:25"/>
    <x v="1"/>
    <n v="439.36"/>
    <n v="4.7618999999999998"/>
    <n v="21.97"/>
    <n v="9"/>
  </r>
  <r>
    <x v="967"/>
    <x v="0"/>
    <s v="Naypyitaw"/>
    <x v="1"/>
    <s v="Female"/>
    <x v="4"/>
    <n v="51.29"/>
    <n v="6"/>
    <n v="15.39"/>
    <n v="323.13"/>
    <x v="32"/>
    <s v="18:45"/>
    <x v="2"/>
    <n v="307.74"/>
    <n v="4.7618999999999998"/>
    <n v="15.39"/>
    <n v="7.3"/>
  </r>
  <r>
    <x v="968"/>
    <x v="1"/>
    <s v="Mandalay"/>
    <x v="1"/>
    <s v="Male"/>
    <x v="0"/>
    <n v="65.83"/>
    <n v="2"/>
    <n v="6.58"/>
    <n v="138.24"/>
    <x v="19"/>
    <s v="11:05"/>
    <x v="0"/>
    <n v="131.66"/>
    <n v="4.7618999999999998"/>
    <n v="6.58"/>
    <n v="4.0999999999999996"/>
  </r>
  <r>
    <x v="969"/>
    <x v="2"/>
    <s v="Yangon"/>
    <x v="1"/>
    <s v="Female"/>
    <x v="0"/>
    <n v="49.97"/>
    <n v="10"/>
    <n v="24.98"/>
    <n v="524.67999999999995"/>
    <x v="52"/>
    <s v="20:20"/>
    <x v="1"/>
    <n v="499.7"/>
    <n v="4.7618999999999998"/>
    <n v="24.98"/>
    <n v="5.3"/>
  </r>
  <r>
    <x v="970"/>
    <x v="1"/>
    <s v="Mandalay"/>
    <x v="1"/>
    <s v="Female"/>
    <x v="4"/>
    <n v="87.07"/>
    <n v="2"/>
    <n v="8.7100000000000009"/>
    <n v="182.85"/>
    <x v="66"/>
    <s v="17:30"/>
    <x v="0"/>
    <n v="174.14"/>
    <n v="4.7618999999999998"/>
    <n v="8.7100000000000009"/>
    <n v="8.1999999999999993"/>
  </r>
  <r>
    <x v="971"/>
    <x v="1"/>
    <s v="Mandalay"/>
    <x v="0"/>
    <s v="Male"/>
    <x v="4"/>
    <n v="55.68"/>
    <n v="5"/>
    <n v="13.92"/>
    <n v="292.32"/>
    <x v="13"/>
    <s v="14:20"/>
    <x v="1"/>
    <n v="278.39999999999998"/>
    <n v="4.7618999999999998"/>
    <n v="13.92"/>
    <n v="8"/>
  </r>
  <r>
    <x v="972"/>
    <x v="1"/>
    <s v="Mandalay"/>
    <x v="0"/>
    <s v="Female"/>
    <x v="1"/>
    <n v="23.8"/>
    <n v="6"/>
    <n v="7.14"/>
    <n v="149.94"/>
    <x v="72"/>
    <s v="19:25"/>
    <x v="1"/>
    <n v="142.80000000000001"/>
    <n v="4.7618999999999998"/>
    <n v="7.14"/>
    <n v="5"/>
  </r>
  <r>
    <x v="973"/>
    <x v="1"/>
    <s v="Mandalay"/>
    <x v="0"/>
    <s v="Male"/>
    <x v="4"/>
    <n v="65.459999999999994"/>
    <n v="7"/>
    <n v="22.91"/>
    <n v="481.13"/>
    <x v="73"/>
    <s v="19:30"/>
    <x v="2"/>
    <n v="458.22"/>
    <n v="4.7618999999999998"/>
    <n v="22.91"/>
    <n v="9.6"/>
  </r>
  <r>
    <x v="974"/>
    <x v="0"/>
    <s v="Naypyitaw"/>
    <x v="0"/>
    <s v="Male"/>
    <x v="5"/>
    <n v="56.55"/>
    <n v="7"/>
    <n v="19.79"/>
    <n v="415.64"/>
    <x v="57"/>
    <s v="11:55"/>
    <x v="2"/>
    <n v="395.85"/>
    <n v="4.7618999999999998"/>
    <n v="19.79"/>
    <n v="7"/>
  </r>
  <r>
    <x v="975"/>
    <x v="0"/>
    <s v="Naypyitaw"/>
    <x v="1"/>
    <s v="Male"/>
    <x v="3"/>
    <n v="24.31"/>
    <n v="6"/>
    <n v="7.29"/>
    <n v="153.15"/>
    <x v="83"/>
    <s v="11:05"/>
    <x v="2"/>
    <n v="145.86000000000001"/>
    <n v="4.7618999999999998"/>
    <n v="7.29"/>
    <n v="6.6"/>
  </r>
  <r>
    <x v="976"/>
    <x v="0"/>
    <s v="Naypyitaw"/>
    <x v="0"/>
    <s v="Female"/>
    <x v="3"/>
    <n v="73.680000000000007"/>
    <n v="2"/>
    <n v="7.37"/>
    <n v="154.72999999999999"/>
    <x v="4"/>
    <s v="16:00"/>
    <x v="0"/>
    <n v="147.36000000000001"/>
    <n v="4.7618999999999998"/>
    <n v="7.37"/>
    <n v="8.4"/>
  </r>
  <r>
    <x v="977"/>
    <x v="0"/>
    <s v="Naypyitaw"/>
    <x v="1"/>
    <s v="Female"/>
    <x v="4"/>
    <n v="68.73"/>
    <n v="4"/>
    <n v="13.75"/>
    <n v="288.67"/>
    <x v="24"/>
    <s v="13:40"/>
    <x v="2"/>
    <n v="274.92"/>
    <n v="4.7618999999999998"/>
    <n v="13.75"/>
    <n v="8.4"/>
  </r>
  <r>
    <x v="978"/>
    <x v="1"/>
    <s v="Mandalay"/>
    <x v="1"/>
    <s v="Female"/>
    <x v="5"/>
    <n v="17.47"/>
    <n v="3"/>
    <n v="2.62"/>
    <n v="55.03"/>
    <x v="58"/>
    <s v="10:50"/>
    <x v="0"/>
    <n v="52.41"/>
    <n v="4.7618999999999998"/>
    <n v="2.62"/>
    <n v="9.1999999999999993"/>
  </r>
  <r>
    <x v="979"/>
    <x v="1"/>
    <s v="Mandalay"/>
    <x v="0"/>
    <s v="Female"/>
    <x v="4"/>
    <n v="35.42"/>
    <n v="3"/>
    <n v="5.31"/>
    <n v="111.57"/>
    <x v="19"/>
    <s v="11:35"/>
    <x v="1"/>
    <n v="106.26"/>
    <n v="4.7618999999999998"/>
    <n v="5.31"/>
    <n v="9.5"/>
  </r>
  <r>
    <x v="980"/>
    <x v="1"/>
    <s v="Mandalay"/>
    <x v="0"/>
    <s v="Male"/>
    <x v="1"/>
    <n v="47.24"/>
    <n v="8"/>
    <n v="18.899999999999999"/>
    <n v="396.82"/>
    <x v="58"/>
    <s v="11:15"/>
    <x v="0"/>
    <n v="377.92"/>
    <n v="4.7618999999999998"/>
    <n v="18.899999999999999"/>
    <n v="6.5"/>
  </r>
  <r>
    <x v="981"/>
    <x v="0"/>
    <s v="Naypyitaw"/>
    <x v="1"/>
    <s v="Female"/>
    <x v="4"/>
    <n v="36.89"/>
    <n v="3"/>
    <n v="5.53"/>
    <n v="116.2"/>
    <x v="13"/>
    <s v="19:50"/>
    <x v="0"/>
    <n v="110.67"/>
    <n v="4.7618999999999998"/>
    <n v="5.53"/>
    <n v="9.1"/>
  </r>
  <r>
    <x v="982"/>
    <x v="1"/>
    <s v="Mandalay"/>
    <x v="1"/>
    <s v="Male"/>
    <x v="3"/>
    <n v="64"/>
    <n v="1"/>
    <n v="3.2"/>
    <n v="67.2"/>
    <x v="2"/>
    <s v="18:55"/>
    <x v="1"/>
    <n v="64"/>
    <n v="4.7618999999999998"/>
    <n v="3.2"/>
    <n v="9.6"/>
  </r>
  <r>
    <x v="983"/>
    <x v="0"/>
    <s v="Naypyitaw"/>
    <x v="0"/>
    <s v="Female"/>
    <x v="3"/>
    <n v="56.06"/>
    <n v="3"/>
    <n v="8.41"/>
    <n v="176.59"/>
    <x v="69"/>
    <s v="15:05"/>
    <x v="2"/>
    <n v="168.18"/>
    <n v="4.7618999999999998"/>
    <n v="8.41"/>
    <n v="4.2"/>
  </r>
  <r>
    <x v="984"/>
    <x v="2"/>
    <s v="Yangon"/>
    <x v="0"/>
    <s v="Female"/>
    <x v="5"/>
    <n v="34.630000000000003"/>
    <n v="4"/>
    <n v="6.93"/>
    <n v="145.44999999999999"/>
    <x v="19"/>
    <s v="15:55"/>
    <x v="0"/>
    <n v="138.52000000000001"/>
    <n v="4.7618999999999998"/>
    <n v="6.93"/>
    <n v="7.9"/>
  </r>
  <r>
    <x v="985"/>
    <x v="0"/>
    <s v="Naypyitaw"/>
    <x v="1"/>
    <s v="Male"/>
    <x v="3"/>
    <n v="95.17"/>
    <n v="4"/>
    <n v="19.03"/>
    <n v="399.71"/>
    <x v="39"/>
    <s v="12:15"/>
    <x v="0"/>
    <n v="380.68"/>
    <n v="4.7618999999999998"/>
    <n v="19.03"/>
    <n v="9.1"/>
  </r>
  <r>
    <x v="986"/>
    <x v="1"/>
    <s v="Mandalay"/>
    <x v="1"/>
    <s v="Female"/>
    <x v="3"/>
    <n v="81.38"/>
    <n v="10"/>
    <n v="40.69"/>
    <n v="854.49"/>
    <x v="12"/>
    <s v="12:15"/>
    <x v="0"/>
    <n v="813.8"/>
    <n v="4.7618999999999998"/>
    <n v="40.69"/>
    <n v="6.9"/>
  </r>
  <r>
    <x v="987"/>
    <x v="1"/>
    <s v="Mandalay"/>
    <x v="1"/>
    <s v="Male"/>
    <x v="3"/>
    <n v="19.68"/>
    <n v="7"/>
    <n v="6.89"/>
    <n v="144.65"/>
    <x v="84"/>
    <s v="13:45"/>
    <x v="1"/>
    <n v="137.76"/>
    <n v="4.7618999999999998"/>
    <n v="6.89"/>
    <n v="6.2"/>
  </r>
  <r>
    <x v="988"/>
    <x v="2"/>
    <s v="Yangon"/>
    <x v="1"/>
    <s v="Female"/>
    <x v="1"/>
    <n v="96.23"/>
    <n v="5"/>
    <n v="24.06"/>
    <n v="505.21"/>
    <x v="14"/>
    <s v="16:20"/>
    <x v="0"/>
    <n v="481.15"/>
    <n v="4.7618999999999998"/>
    <n v="24.06"/>
    <n v="9"/>
  </r>
  <r>
    <x v="989"/>
    <x v="0"/>
    <s v="Naypyitaw"/>
    <x v="1"/>
    <s v="Male"/>
    <x v="1"/>
    <n v="20.32"/>
    <n v="6"/>
    <n v="6.1"/>
    <n v="128.02000000000001"/>
    <x v="84"/>
    <s v="12:25"/>
    <x v="2"/>
    <n v="121.92"/>
    <n v="4.7618999999999998"/>
    <n v="6.1"/>
    <n v="4.4000000000000004"/>
  </r>
  <r>
    <x v="990"/>
    <x v="1"/>
    <s v="Mandalay"/>
    <x v="1"/>
    <s v="Female"/>
    <x v="5"/>
    <n v="21.01"/>
    <n v="6"/>
    <n v="6.3"/>
    <n v="132.36000000000001"/>
    <x v="81"/>
    <s v="10:55"/>
    <x v="1"/>
    <n v="126.06"/>
    <n v="4.7618999999999998"/>
    <n v="6.3"/>
    <n v="5.3"/>
  </r>
  <r>
    <x v="991"/>
    <x v="1"/>
    <s v="Mandalay"/>
    <x v="0"/>
    <s v="Female"/>
    <x v="2"/>
    <n v="35.53"/>
    <n v="4"/>
    <n v="7.11"/>
    <n v="149.22999999999999"/>
    <x v="70"/>
    <s v="13:05"/>
    <x v="0"/>
    <n v="142.12"/>
    <n v="4.7618999999999998"/>
    <n v="7.11"/>
    <n v="5.7"/>
  </r>
  <r>
    <x v="992"/>
    <x v="0"/>
    <s v="Naypyitaw"/>
    <x v="0"/>
    <s v="Male"/>
    <x v="0"/>
    <n v="78.06"/>
    <n v="6"/>
    <n v="23.42"/>
    <n v="491.78"/>
    <x v="56"/>
    <s v="13:15"/>
    <x v="2"/>
    <n v="468.36"/>
    <n v="4.7618999999999998"/>
    <n v="23.42"/>
    <n v="8.8000000000000007"/>
  </r>
  <r>
    <x v="993"/>
    <x v="2"/>
    <s v="Yangon"/>
    <x v="1"/>
    <s v="Male"/>
    <x v="1"/>
    <n v="21.17"/>
    <n v="3"/>
    <n v="3.18"/>
    <n v="66.69"/>
    <x v="10"/>
    <s v="15:45"/>
    <x v="1"/>
    <n v="63.51"/>
    <n v="4.7618999999999998"/>
    <n v="3.18"/>
    <n v="5.4"/>
  </r>
  <r>
    <x v="994"/>
    <x v="1"/>
    <s v="Mandalay"/>
    <x v="0"/>
    <s v="Female"/>
    <x v="2"/>
    <n v="35.590000000000003"/>
    <n v="7"/>
    <n v="12.46"/>
    <n v="261.58999999999997"/>
    <x v="52"/>
    <s v="18:40"/>
    <x v="2"/>
    <n v="249.13"/>
    <n v="4.7618999999999998"/>
    <n v="12.46"/>
    <n v="6"/>
  </r>
  <r>
    <x v="995"/>
    <x v="2"/>
    <s v="Yangon"/>
    <x v="1"/>
    <s v="Female"/>
    <x v="2"/>
    <n v="75.09"/>
    <n v="5"/>
    <n v="18.77"/>
    <n v="394.22"/>
    <x v="56"/>
    <s v="15:30"/>
    <x v="2"/>
    <n v="375.45"/>
    <n v="4.7618999999999998"/>
    <n v="18.77"/>
    <n v="7.3"/>
  </r>
  <r>
    <x v="996"/>
    <x v="1"/>
    <s v="Mandalay"/>
    <x v="0"/>
    <s v="Male"/>
    <x v="5"/>
    <n v="72.680000000000007"/>
    <n v="8"/>
    <n v="29.07"/>
    <n v="610.51"/>
    <x v="85"/>
    <s v="20:05"/>
    <x v="1"/>
    <n v="581.44000000000005"/>
    <n v="4.7618999999999998"/>
    <n v="29.07"/>
    <n v="9.6"/>
  </r>
  <r>
    <x v="997"/>
    <x v="2"/>
    <s v="Yangon"/>
    <x v="0"/>
    <s v="Female"/>
    <x v="1"/>
    <n v="22.49"/>
    <n v="6"/>
    <n v="6.75"/>
    <n v="141.69"/>
    <x v="81"/>
    <s v="16:15"/>
    <x v="2"/>
    <n v="134.94"/>
    <n v="4.7618999999999998"/>
    <n v="6.75"/>
    <n v="4.5"/>
  </r>
  <r>
    <x v="998"/>
    <x v="1"/>
    <s v="Mandalay"/>
    <x v="0"/>
    <s v="Female"/>
    <x v="5"/>
    <n v="89.5"/>
    <n v="1"/>
    <n v="4.4800000000000004"/>
    <n v="93.98"/>
    <x v="46"/>
    <s v="10:20"/>
    <x v="2"/>
    <n v="89.5"/>
    <n v="4.7618999999999998"/>
    <n v="4.4800000000000004"/>
    <n v="5.6"/>
  </r>
  <r>
    <x v="999"/>
    <x v="0"/>
    <s v="Naypyitaw"/>
    <x v="1"/>
    <s v="Male"/>
    <x v="0"/>
    <n v="25.33"/>
    <n v="3"/>
    <n v="3.8"/>
    <n v="79.790000000000006"/>
    <x v="21"/>
    <s v="17:05"/>
    <x v="2"/>
    <n v="75.989999999999995"/>
    <n v="4.7618999999999998"/>
    <n v="3.8"/>
    <n v="5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189-0001"/>
    <s v="C"/>
    <s v="Naypyitaw"/>
    <s v="Member"/>
    <s v="Female"/>
    <s v="Fashion accessories"/>
    <n v="34.75"/>
    <n v="4"/>
    <n v="6.95"/>
    <n v="145.94999999999999"/>
    <x v="0"/>
    <s v="11:50"/>
    <s v="Ewallet"/>
    <n v="139"/>
    <n v="4.7618999999999998"/>
    <n v="6.95"/>
    <n v="9.4"/>
    <x v="0"/>
  </r>
  <r>
    <s v="C765-0002"/>
    <s v="C"/>
    <s v="Naypyitaw"/>
    <s v="Normal"/>
    <s v="Female"/>
    <s v="Health and beauty"/>
    <n v="18.43"/>
    <n v="4"/>
    <n v="3.69"/>
    <n v="77.41"/>
    <x v="1"/>
    <s v="19:00"/>
    <s v="Ewallet"/>
    <n v="73.72"/>
    <n v="4.7618999999999998"/>
    <n v="3.69"/>
    <n v="5.2"/>
    <x v="1"/>
  </r>
  <r>
    <s v="C881-0003"/>
    <s v="C"/>
    <s v="Naypyitaw"/>
    <s v="Normal"/>
    <s v="Female"/>
    <s v="Sports and travel"/>
    <n v="63.03"/>
    <n v="1"/>
    <n v="3.15"/>
    <n v="66.180000000000007"/>
    <x v="2"/>
    <s v="16:25"/>
    <s v="Credit card"/>
    <n v="63.03"/>
    <n v="4.7618999999999998"/>
    <n v="3.15"/>
    <n v="4.9000000000000004"/>
    <x v="2"/>
  </r>
  <r>
    <s v="B227-0004"/>
    <s v="B"/>
    <s v="Mandalay"/>
    <s v="Member"/>
    <s v="Female"/>
    <s v="Sports and travel"/>
    <n v="18.7"/>
    <n v="6"/>
    <n v="5.61"/>
    <n v="117.81"/>
    <x v="3"/>
    <s v="14:00"/>
    <s v="Ewallet"/>
    <n v="112.2"/>
    <n v="4.7618999999999998"/>
    <n v="5.61"/>
    <n v="6.8"/>
    <x v="3"/>
  </r>
  <r>
    <s v="B333-0005"/>
    <s v="B"/>
    <s v="Mandalay"/>
    <s v="Member"/>
    <s v="Male"/>
    <s v="Fashion accessories"/>
    <n v="65.67"/>
    <n v="6"/>
    <n v="19.7"/>
    <n v="413.72"/>
    <x v="4"/>
    <s v="13:55"/>
    <s v="Cash"/>
    <n v="394.02"/>
    <n v="4.7618999999999998"/>
    <n v="19.7"/>
    <n v="4.3"/>
    <x v="4"/>
  </r>
  <r>
    <s v="B786-0006"/>
    <s v="B"/>
    <s v="Mandalay"/>
    <s v="Member"/>
    <s v="Female"/>
    <s v="Health and beauty"/>
    <n v="44.21"/>
    <n v="8"/>
    <n v="17.68"/>
    <n v="371.36"/>
    <x v="5"/>
    <s v="15:10"/>
    <s v="Credit card"/>
    <n v="353.68"/>
    <n v="4.7618999999999998"/>
    <n v="17.68"/>
    <n v="6.1"/>
    <x v="5"/>
  </r>
  <r>
    <s v="B324-0007"/>
    <s v="B"/>
    <s v="Mandalay"/>
    <s v="Member"/>
    <s v="Female"/>
    <s v="Food and beverages"/>
    <n v="75.62"/>
    <n v="3"/>
    <n v="11.34"/>
    <n v="238.2"/>
    <x v="6"/>
    <s v="16:20"/>
    <s v="Ewallet"/>
    <n v="226.86"/>
    <n v="4.7618999999999998"/>
    <n v="11.34"/>
    <n v="8.1"/>
    <x v="6"/>
  </r>
  <r>
    <s v="C680-0008"/>
    <s v="C"/>
    <s v="Naypyitaw"/>
    <s v="Normal"/>
    <s v="Female"/>
    <s v="Electronic accessories"/>
    <n v="83.96"/>
    <n v="6"/>
    <n v="25.19"/>
    <n v="528.95000000000005"/>
    <x v="7"/>
    <s v="14:05"/>
    <s v="Cash"/>
    <n v="503.76"/>
    <n v="4.7618999999999998"/>
    <n v="25.19"/>
    <n v="9.5"/>
    <x v="7"/>
  </r>
  <r>
    <s v="C651-0009"/>
    <s v="C"/>
    <s v="Naypyitaw"/>
    <s v="Normal"/>
    <s v="Female"/>
    <s v="Fashion accessories"/>
    <n v="54.93"/>
    <n v="8"/>
    <n v="21.97"/>
    <n v="461.41"/>
    <x v="8"/>
    <s v="14:10"/>
    <s v="Cash"/>
    <n v="439.44"/>
    <n v="4.7618999999999998"/>
    <n v="21.97"/>
    <n v="8.5"/>
    <x v="8"/>
  </r>
  <r>
    <s v="B256-0010"/>
    <s v="B"/>
    <s v="Mandalay"/>
    <s v="Normal"/>
    <s v="Male"/>
    <s v="Home and lifestyle"/>
    <n v="29.74"/>
    <n v="3"/>
    <n v="4.46"/>
    <n v="93.68"/>
    <x v="9"/>
    <s v="17:05"/>
    <s v="Cash"/>
    <n v="89.22"/>
    <n v="4.7618999999999998"/>
    <n v="4.46"/>
    <n v="9.1999999999999993"/>
    <x v="9"/>
  </r>
  <r>
    <s v="C981-0011"/>
    <s v="C"/>
    <s v="Naypyitaw"/>
    <s v="Member"/>
    <s v="Male"/>
    <s v="Food and beverages"/>
    <n v="15.72"/>
    <n v="7"/>
    <n v="5.5"/>
    <n v="115.54"/>
    <x v="10"/>
    <s v="17:40"/>
    <s v="Credit card"/>
    <n v="110.04"/>
    <n v="4.7618999999999998"/>
    <n v="5.5"/>
    <n v="9.8000000000000007"/>
    <x v="10"/>
  </r>
  <r>
    <s v="A996-0012"/>
    <s v="A"/>
    <s v="Yangon"/>
    <s v="Member"/>
    <s v="Male"/>
    <s v="Fashion accessories"/>
    <n v="40.619999999999997"/>
    <n v="5"/>
    <n v="10.16"/>
    <n v="213.26"/>
    <x v="11"/>
    <s v="12:35"/>
    <s v="Cash"/>
    <n v="203.1"/>
    <n v="4.7618999999999998"/>
    <n v="10.16"/>
    <n v="9.6999999999999993"/>
    <x v="11"/>
  </r>
  <r>
    <s v="C880-0013"/>
    <s v="C"/>
    <s v="Naypyitaw"/>
    <s v="Normal"/>
    <s v="Female"/>
    <s v="Food and beverages"/>
    <n v="92.14"/>
    <n v="5"/>
    <n v="23.04"/>
    <n v="483.74"/>
    <x v="5"/>
    <s v="18:45"/>
    <s v="Cash"/>
    <n v="460.7"/>
    <n v="4.7618999999999998"/>
    <n v="23.04"/>
    <n v="4.9000000000000004"/>
    <x v="5"/>
  </r>
  <r>
    <s v="A180-0014"/>
    <s v="A"/>
    <s v="Yangon"/>
    <s v="Member"/>
    <s v="Male"/>
    <s v="Sports and travel"/>
    <n v="11.75"/>
    <n v="6"/>
    <n v="3.53"/>
    <n v="74.03"/>
    <x v="12"/>
    <s v="13:00"/>
    <s v="Cash"/>
    <n v="70.5"/>
    <n v="4.7618999999999998"/>
    <n v="3.53"/>
    <n v="9.3000000000000007"/>
    <x v="12"/>
  </r>
  <r>
    <s v="A993-0015"/>
    <s v="A"/>
    <s v="Yangon"/>
    <s v="Normal"/>
    <s v="Female"/>
    <s v="Food and beverages"/>
    <n v="78.930000000000007"/>
    <n v="3"/>
    <n v="11.84"/>
    <n v="248.63"/>
    <x v="13"/>
    <s v="17:40"/>
    <s v="Cash"/>
    <n v="236.79"/>
    <n v="4.7618999999999998"/>
    <n v="11.84"/>
    <n v="5.6"/>
    <x v="13"/>
  </r>
  <r>
    <s v="C629-0016"/>
    <s v="C"/>
    <s v="Naypyitaw"/>
    <s v="Normal"/>
    <s v="Female"/>
    <s v="Food and beverages"/>
    <n v="77.97"/>
    <n v="4"/>
    <n v="15.59"/>
    <n v="327.47000000000003"/>
    <x v="12"/>
    <s v="16:50"/>
    <s v="Ewallet"/>
    <n v="311.88"/>
    <n v="4.7618999999999998"/>
    <n v="15.59"/>
    <n v="6.2"/>
    <x v="12"/>
  </r>
  <r>
    <s v="B172-0017"/>
    <s v="B"/>
    <s v="Mandalay"/>
    <s v="Member"/>
    <s v="Female"/>
    <s v="Electronic accessories"/>
    <n v="15.76"/>
    <n v="1"/>
    <n v="0.79"/>
    <n v="16.55"/>
    <x v="14"/>
    <s v="18:15"/>
    <s v="Ewallet"/>
    <n v="15.76"/>
    <n v="4.7618999999999998"/>
    <n v="0.79"/>
    <n v="5.3"/>
    <x v="14"/>
  </r>
  <r>
    <s v="C319-0018"/>
    <s v="C"/>
    <s v="Naypyitaw"/>
    <s v="Member"/>
    <s v="Female"/>
    <s v="Health and beauty"/>
    <n v="91.49"/>
    <n v="6"/>
    <n v="27.45"/>
    <n v="576.39"/>
    <x v="15"/>
    <s v="18:15"/>
    <s v="Credit card"/>
    <n v="548.94000000000005"/>
    <n v="4.7618999999999998"/>
    <n v="27.45"/>
    <n v="8"/>
    <x v="15"/>
  </r>
  <r>
    <s v="C533-0019"/>
    <s v="C"/>
    <s v="Naypyitaw"/>
    <s v="Member"/>
    <s v="Male"/>
    <s v="Electronic accessories"/>
    <n v="80.62"/>
    <n v="7"/>
    <n v="28.22"/>
    <n v="592.55999999999995"/>
    <x v="16"/>
    <s v="11:05"/>
    <s v="Ewallet"/>
    <n v="564.34"/>
    <n v="4.7618999999999998"/>
    <n v="28.22"/>
    <n v="6.6"/>
    <x v="16"/>
  </r>
  <r>
    <s v="B211-0020"/>
    <s v="B"/>
    <s v="Mandalay"/>
    <s v="Normal"/>
    <s v="Female"/>
    <s v="Fashion accessories"/>
    <n v="68.81"/>
    <n v="2"/>
    <n v="6.88"/>
    <n v="144.5"/>
    <x v="17"/>
    <s v="16:55"/>
    <s v="Credit card"/>
    <n v="137.62"/>
    <n v="4.7618999999999998"/>
    <n v="6.88"/>
    <n v="8.8000000000000007"/>
    <x v="17"/>
  </r>
  <r>
    <s v="A177-0021"/>
    <s v="A"/>
    <s v="Yangon"/>
    <s v="Member"/>
    <s v="Female"/>
    <s v="Food and beverages"/>
    <n v="50.38"/>
    <n v="7"/>
    <n v="17.63"/>
    <n v="370.29"/>
    <x v="18"/>
    <s v="14:35"/>
    <s v="Cash"/>
    <n v="352.66"/>
    <n v="4.7618999999999998"/>
    <n v="17.63"/>
    <n v="9.1999999999999993"/>
    <x v="18"/>
  </r>
  <r>
    <s v="B318-0022"/>
    <s v="B"/>
    <s v="Mandalay"/>
    <s v="Member"/>
    <s v="Female"/>
    <s v="Fashion accessories"/>
    <n v="99.94"/>
    <n v="1"/>
    <n v="5"/>
    <n v="104.94"/>
    <x v="19"/>
    <s v="13:10"/>
    <s v="Credit card"/>
    <n v="99.94"/>
    <n v="4.7618999999999998"/>
    <n v="5"/>
    <n v="6.9"/>
    <x v="19"/>
  </r>
  <r>
    <s v="B848-0023"/>
    <s v="B"/>
    <s v="Mandalay"/>
    <s v="Member"/>
    <s v="Female"/>
    <s v="Sports and travel"/>
    <n v="10.19"/>
    <n v="7"/>
    <n v="3.57"/>
    <n v="74.900000000000006"/>
    <x v="20"/>
    <s v="17:20"/>
    <s v="Credit card"/>
    <n v="71.33"/>
    <n v="4.7618999999999998"/>
    <n v="3.57"/>
    <n v="8.1999999999999993"/>
    <x v="20"/>
  </r>
  <r>
    <s v="C151-0024"/>
    <s v="C"/>
    <s v="Naypyitaw"/>
    <s v="Normal"/>
    <s v="Female"/>
    <s v="Electronic accessories"/>
    <n v="36.700000000000003"/>
    <n v="1"/>
    <n v="1.84"/>
    <n v="38.54"/>
    <x v="21"/>
    <s v="18:00"/>
    <s v="Ewallet"/>
    <n v="36.700000000000003"/>
    <n v="4.7618999999999998"/>
    <n v="1.84"/>
    <n v="5.9"/>
    <x v="21"/>
  </r>
  <r>
    <s v="C340-0025"/>
    <s v="C"/>
    <s v="Naypyitaw"/>
    <s v="Normal"/>
    <s v="Female"/>
    <s v="Health and beauty"/>
    <n v="96.47"/>
    <n v="2"/>
    <n v="9.65"/>
    <n v="202.59"/>
    <x v="18"/>
    <s v="11:45"/>
    <s v="Cash"/>
    <n v="192.94"/>
    <n v="4.7618999999999998"/>
    <n v="9.65"/>
    <n v="8.1"/>
    <x v="18"/>
  </r>
  <r>
    <s v="B423-0026"/>
    <s v="B"/>
    <s v="Mandalay"/>
    <s v="Member"/>
    <s v="Female"/>
    <s v="Food and beverages"/>
    <n v="63.51"/>
    <n v="10"/>
    <n v="31.76"/>
    <n v="666.86"/>
    <x v="22"/>
    <s v="16:50"/>
    <s v="Ewallet"/>
    <n v="635.1"/>
    <n v="4.7618999999999998"/>
    <n v="31.76"/>
    <n v="7.4"/>
    <x v="22"/>
  </r>
  <r>
    <s v="B869-0027"/>
    <s v="B"/>
    <s v="Mandalay"/>
    <s v="Member"/>
    <s v="Male"/>
    <s v="Electronic accessories"/>
    <n v="33.909999999999997"/>
    <n v="3"/>
    <n v="5.09"/>
    <n v="106.82"/>
    <x v="23"/>
    <s v="20:20"/>
    <s v="Credit card"/>
    <n v="101.73"/>
    <n v="4.7618999999999998"/>
    <n v="5.09"/>
    <n v="5.9"/>
    <x v="23"/>
  </r>
  <r>
    <s v="A457-0028"/>
    <s v="A"/>
    <s v="Yangon"/>
    <s v="Member"/>
    <s v="Male"/>
    <s v="Food and beverages"/>
    <n v="99.86"/>
    <n v="2"/>
    <n v="9.99"/>
    <n v="209.71"/>
    <x v="15"/>
    <s v="18:15"/>
    <s v="Ewallet"/>
    <n v="199.72"/>
    <n v="4.7618999999999998"/>
    <n v="9.99"/>
    <n v="5.6"/>
    <x v="15"/>
  </r>
  <r>
    <s v="A936-0029"/>
    <s v="A"/>
    <s v="Yangon"/>
    <s v="Member"/>
    <s v="Male"/>
    <s v="Home and lifestyle"/>
    <n v="24.2"/>
    <n v="9"/>
    <n v="10.89"/>
    <n v="228.69"/>
    <x v="24"/>
    <s v="19:50"/>
    <s v="Ewallet"/>
    <n v="217.8"/>
    <n v="4.7618999999999998"/>
    <n v="10.89"/>
    <n v="4"/>
    <x v="24"/>
  </r>
  <r>
    <s v="C834-0030"/>
    <s v="C"/>
    <s v="Naypyitaw"/>
    <s v="Normal"/>
    <s v="Female"/>
    <s v="Electronic accessories"/>
    <n v="33.799999999999997"/>
    <n v="2"/>
    <n v="3.38"/>
    <n v="70.98"/>
    <x v="25"/>
    <s v="12:20"/>
    <s v="Credit card"/>
    <n v="67.599999999999994"/>
    <n v="4.7618999999999998"/>
    <n v="3.38"/>
    <n v="7.6"/>
    <x v="25"/>
  </r>
  <r>
    <s v="B441-0031"/>
    <s v="B"/>
    <s v="Mandalay"/>
    <s v="Member"/>
    <s v="Male"/>
    <s v="Food and beverages"/>
    <n v="53.97"/>
    <n v="1"/>
    <n v="2.7"/>
    <n v="56.67"/>
    <x v="19"/>
    <s v="20:30"/>
    <s v="Credit card"/>
    <n v="53.97"/>
    <n v="4.7618999999999998"/>
    <n v="2.7"/>
    <n v="4.3"/>
    <x v="19"/>
  </r>
  <r>
    <s v="A807-0032"/>
    <s v="A"/>
    <s v="Yangon"/>
    <s v="Normal"/>
    <s v="Female"/>
    <s v="Fashion accessories"/>
    <n v="49.77"/>
    <n v="7"/>
    <n v="17.420000000000002"/>
    <n v="365.81"/>
    <x v="26"/>
    <s v="10:05"/>
    <s v="Cash"/>
    <n v="348.39"/>
    <n v="4.7618999999999998"/>
    <n v="17.420000000000002"/>
    <n v="9.6999999999999993"/>
    <x v="26"/>
  </r>
  <r>
    <s v="A915-0033"/>
    <s v="A"/>
    <s v="Yangon"/>
    <s v="Member"/>
    <s v="Male"/>
    <s v="Food and beverages"/>
    <n v="59.73"/>
    <n v="7"/>
    <n v="20.91"/>
    <n v="439.02"/>
    <x v="27"/>
    <s v="10:20"/>
    <s v="Credit card"/>
    <n v="418.11"/>
    <n v="4.7618999999999998"/>
    <n v="20.91"/>
    <n v="9.4"/>
    <x v="27"/>
  </r>
  <r>
    <s v="A342-0034"/>
    <s v="A"/>
    <s v="Yangon"/>
    <s v="Normal"/>
    <s v="Female"/>
    <s v="Fashion accessories"/>
    <n v="32.46"/>
    <n v="2"/>
    <n v="3.25"/>
    <n v="68.17"/>
    <x v="28"/>
    <s v="18:30"/>
    <s v="Ewallet"/>
    <n v="64.92"/>
    <n v="4.7618999999999998"/>
    <n v="3.25"/>
    <n v="8.5"/>
    <x v="28"/>
  </r>
  <r>
    <s v="A906-0035"/>
    <s v="A"/>
    <s v="Yangon"/>
    <s v="Member"/>
    <s v="Male"/>
    <s v="Health and beauty"/>
    <n v="26.14"/>
    <n v="6"/>
    <n v="7.84"/>
    <n v="164.68"/>
    <x v="29"/>
    <s v="20:55"/>
    <s v="Cash"/>
    <n v="156.84"/>
    <n v="4.7618999999999998"/>
    <n v="7.84"/>
    <n v="5.6"/>
    <x v="29"/>
  </r>
  <r>
    <s v="C992-0036"/>
    <s v="C"/>
    <s v="Naypyitaw"/>
    <s v="Member"/>
    <s v="Male"/>
    <s v="Health and beauty"/>
    <n v="87.27"/>
    <n v="4"/>
    <n v="17.45"/>
    <n v="366.53"/>
    <x v="30"/>
    <s v="17:25"/>
    <s v="Credit card"/>
    <n v="349.08"/>
    <n v="4.7618999999999998"/>
    <n v="17.45"/>
    <n v="8.9"/>
    <x v="30"/>
  </r>
  <r>
    <s v="A509-0037"/>
    <s v="A"/>
    <s v="Yangon"/>
    <s v="Member"/>
    <s v="Female"/>
    <s v="Fashion accessories"/>
    <n v="27.38"/>
    <n v="6"/>
    <n v="8.2100000000000009"/>
    <n v="172.49"/>
    <x v="31"/>
    <s v="11:20"/>
    <s v="Credit card"/>
    <n v="164.28"/>
    <n v="4.7618999999999998"/>
    <n v="8.2100000000000009"/>
    <n v="7.8"/>
    <x v="31"/>
  </r>
  <r>
    <s v="C544-0038"/>
    <s v="C"/>
    <s v="Naypyitaw"/>
    <s v="Normal"/>
    <s v="Female"/>
    <s v="Health and beauty"/>
    <n v="88.93"/>
    <n v="5"/>
    <n v="22.23"/>
    <n v="466.88"/>
    <x v="32"/>
    <s v="19:20"/>
    <s v="Cash"/>
    <n v="444.65"/>
    <n v="4.7618999999999998"/>
    <n v="22.23"/>
    <n v="4.7"/>
    <x v="32"/>
  </r>
  <r>
    <s v="B546-0039"/>
    <s v="B"/>
    <s v="Mandalay"/>
    <s v="Normal"/>
    <s v="Male"/>
    <s v="Food and beverages"/>
    <n v="98.58"/>
    <n v="2"/>
    <n v="9.86"/>
    <n v="207.02"/>
    <x v="33"/>
    <s v="19:15"/>
    <s v="Credit card"/>
    <n v="197.16"/>
    <n v="4.7618999999999998"/>
    <n v="9.86"/>
    <n v="4.3"/>
    <x v="33"/>
  </r>
  <r>
    <s v="A407-0040"/>
    <s v="A"/>
    <s v="Yangon"/>
    <s v="Member"/>
    <s v="Male"/>
    <s v="Sports and travel"/>
    <n v="16.3"/>
    <n v="6"/>
    <n v="4.8899999999999997"/>
    <n v="102.69"/>
    <x v="34"/>
    <s v="15:50"/>
    <s v="Cash"/>
    <n v="97.8"/>
    <n v="4.7618999999999998"/>
    <n v="4.8899999999999997"/>
    <n v="8.3000000000000007"/>
    <x v="34"/>
  </r>
  <r>
    <s v="C488-0041"/>
    <s v="C"/>
    <s v="Naypyitaw"/>
    <s v="Normal"/>
    <s v="Male"/>
    <s v="Home and lifestyle"/>
    <n v="46.22"/>
    <n v="5"/>
    <n v="11.55"/>
    <n v="242.65"/>
    <x v="25"/>
    <s v="12:15"/>
    <s v="Credit card"/>
    <n v="231.1"/>
    <n v="4.7618999999999998"/>
    <n v="11.55"/>
    <n v="8"/>
    <x v="25"/>
  </r>
  <r>
    <s v="C721-0042"/>
    <s v="C"/>
    <s v="Naypyitaw"/>
    <s v="Member"/>
    <s v="Male"/>
    <s v="Sports and travel"/>
    <n v="59.31"/>
    <n v="1"/>
    <n v="2.97"/>
    <n v="62.28"/>
    <x v="24"/>
    <s v="14:15"/>
    <s v="Credit card"/>
    <n v="59.31"/>
    <n v="4.7618999999999998"/>
    <n v="2.97"/>
    <n v="8.6999999999999993"/>
    <x v="24"/>
  </r>
  <r>
    <s v="C390-0043"/>
    <s v="C"/>
    <s v="Naypyitaw"/>
    <s v="Normal"/>
    <s v="Male"/>
    <s v="Sports and travel"/>
    <n v="49.79"/>
    <n v="4"/>
    <n v="9.9600000000000009"/>
    <n v="209.12"/>
    <x v="9"/>
    <s v="17:55"/>
    <s v="Cash"/>
    <n v="199.16"/>
    <n v="4.7618999999999998"/>
    <n v="9.9600000000000009"/>
    <n v="8"/>
    <x v="9"/>
  </r>
  <r>
    <s v="C586-0044"/>
    <s v="C"/>
    <s v="Naypyitaw"/>
    <s v="Normal"/>
    <s v="Female"/>
    <s v="Electronic accessories"/>
    <n v="70.55"/>
    <n v="4"/>
    <n v="14.11"/>
    <n v="296.31"/>
    <x v="30"/>
    <s v="12:00"/>
    <s v="Cash"/>
    <n v="282.2"/>
    <n v="4.7618999999999998"/>
    <n v="14.11"/>
    <n v="5.5"/>
    <x v="30"/>
  </r>
  <r>
    <s v="C771-0045"/>
    <s v="C"/>
    <s v="Naypyitaw"/>
    <s v="Member"/>
    <s v="Male"/>
    <s v="Sports and travel"/>
    <n v="89.75"/>
    <n v="10"/>
    <n v="44.88"/>
    <n v="942.38"/>
    <x v="16"/>
    <s v="16:35"/>
    <s v="Credit card"/>
    <n v="897.5"/>
    <n v="4.7618999999999998"/>
    <n v="44.88"/>
    <n v="5.5"/>
    <x v="16"/>
  </r>
  <r>
    <s v="C224-0046"/>
    <s v="C"/>
    <s v="Naypyitaw"/>
    <s v="Member"/>
    <s v="Female"/>
    <s v="Sports and travel"/>
    <n v="29.7"/>
    <n v="9"/>
    <n v="13.37"/>
    <n v="280.67"/>
    <x v="6"/>
    <s v="10:40"/>
    <s v="Cash"/>
    <n v="267.3"/>
    <n v="4.7618999999999998"/>
    <n v="13.37"/>
    <n v="9.5"/>
    <x v="6"/>
  </r>
  <r>
    <s v="B616-0047"/>
    <s v="B"/>
    <s v="Mandalay"/>
    <s v="Member"/>
    <s v="Male"/>
    <s v="Fashion accessories"/>
    <n v="57.8"/>
    <n v="9"/>
    <n v="26.01"/>
    <n v="546.21"/>
    <x v="10"/>
    <s v="15:35"/>
    <s v="Ewallet"/>
    <n v="520.20000000000005"/>
    <n v="4.7618999999999998"/>
    <n v="26.01"/>
    <n v="8.9"/>
    <x v="10"/>
  </r>
  <r>
    <s v="B633-0048"/>
    <s v="B"/>
    <s v="Mandalay"/>
    <s v="Normal"/>
    <s v="Female"/>
    <s v="Fashion accessories"/>
    <n v="87.53"/>
    <n v="8"/>
    <n v="35.01"/>
    <n v="735.25"/>
    <x v="20"/>
    <s v="13:50"/>
    <s v="Credit card"/>
    <n v="700.24"/>
    <n v="4.7618999999999998"/>
    <n v="35.01"/>
    <n v="8.6"/>
    <x v="20"/>
  </r>
  <r>
    <s v="B182-0049"/>
    <s v="B"/>
    <s v="Mandalay"/>
    <s v="Member"/>
    <s v="Male"/>
    <s v="Sports and travel"/>
    <n v="16.97"/>
    <n v="5"/>
    <n v="4.24"/>
    <n v="89.09"/>
    <x v="35"/>
    <s v="14:25"/>
    <s v="Credit card"/>
    <n v="84.85"/>
    <n v="4.7618999999999998"/>
    <n v="4.24"/>
    <n v="9.4"/>
    <x v="35"/>
  </r>
  <r>
    <s v="A525-0050"/>
    <s v="A"/>
    <s v="Yangon"/>
    <s v="Member"/>
    <s v="Female"/>
    <s v="Sports and travel"/>
    <n v="72.459999999999994"/>
    <n v="4"/>
    <n v="14.49"/>
    <n v="304.33"/>
    <x v="36"/>
    <s v="16:30"/>
    <s v="Credit card"/>
    <n v="289.83999999999997"/>
    <n v="4.7618999999999998"/>
    <n v="14.49"/>
    <n v="7.3"/>
    <x v="36"/>
  </r>
  <r>
    <s v="A460-0051"/>
    <s v="A"/>
    <s v="Yangon"/>
    <s v="Member"/>
    <s v="Male"/>
    <s v="Sports and travel"/>
    <n v="91.44"/>
    <n v="10"/>
    <n v="45.72"/>
    <n v="960.12"/>
    <x v="37"/>
    <s v="19:30"/>
    <s v="Credit card"/>
    <n v="914.4"/>
    <n v="4.7618999999999998"/>
    <n v="45.72"/>
    <n v="4"/>
    <x v="37"/>
  </r>
  <r>
    <s v="B597-0052"/>
    <s v="B"/>
    <s v="Mandalay"/>
    <s v="Normal"/>
    <s v="Male"/>
    <s v="Food and beverages"/>
    <n v="77.28"/>
    <n v="9"/>
    <n v="34.78"/>
    <n v="730.3"/>
    <x v="3"/>
    <s v="13:35"/>
    <s v="Cash"/>
    <n v="695.52"/>
    <n v="4.7618999999999998"/>
    <n v="34.78"/>
    <n v="5.6"/>
    <x v="3"/>
  </r>
  <r>
    <s v="A503-0053"/>
    <s v="A"/>
    <s v="Yangon"/>
    <s v="Normal"/>
    <s v="Male"/>
    <s v="Fashion accessories"/>
    <n v="71.12"/>
    <n v="7"/>
    <n v="24.89"/>
    <n v="522.73"/>
    <x v="38"/>
    <s v="17:10"/>
    <s v="Ewallet"/>
    <n v="497.84"/>
    <n v="4.7618999999999998"/>
    <n v="24.89"/>
    <n v="7.2"/>
    <x v="38"/>
  </r>
  <r>
    <s v="C565-0054"/>
    <s v="C"/>
    <s v="Naypyitaw"/>
    <s v="Member"/>
    <s v="Female"/>
    <s v="Fashion accessories"/>
    <n v="48.58"/>
    <n v="8"/>
    <n v="19.43"/>
    <n v="408.07"/>
    <x v="18"/>
    <s v="10:20"/>
    <s v="Credit card"/>
    <n v="388.64"/>
    <n v="4.7618999999999998"/>
    <n v="19.43"/>
    <n v="6"/>
    <x v="18"/>
  </r>
  <r>
    <s v="B153-0055"/>
    <s v="B"/>
    <s v="Mandalay"/>
    <s v="Normal"/>
    <s v="Male"/>
    <s v="Home and lifestyle"/>
    <n v="77.680000000000007"/>
    <n v="7"/>
    <n v="27.19"/>
    <n v="570.95000000000005"/>
    <x v="39"/>
    <s v="11:35"/>
    <s v="Cash"/>
    <n v="543.76"/>
    <n v="4.7618999999999998"/>
    <n v="27.19"/>
    <n v="8.5"/>
    <x v="39"/>
  </r>
  <r>
    <s v="B229-0056"/>
    <s v="B"/>
    <s v="Mandalay"/>
    <s v="Member"/>
    <s v="Female"/>
    <s v="Fashion accessories"/>
    <n v="13.62"/>
    <n v="1"/>
    <n v="0.68"/>
    <n v="14.3"/>
    <x v="40"/>
    <s v="13:00"/>
    <s v="Ewallet"/>
    <n v="13.62"/>
    <n v="4.7618999999999998"/>
    <n v="0.68"/>
    <n v="4.9000000000000004"/>
    <x v="40"/>
  </r>
  <r>
    <s v="B896-0057"/>
    <s v="B"/>
    <s v="Mandalay"/>
    <s v="Member"/>
    <s v="Female"/>
    <s v="Sports and travel"/>
    <n v="72.95"/>
    <n v="6"/>
    <n v="21.89"/>
    <n v="459.59"/>
    <x v="38"/>
    <s v="19:45"/>
    <s v="Ewallet"/>
    <n v="437.7"/>
    <n v="4.7618999999999998"/>
    <n v="21.89"/>
    <n v="8.3000000000000007"/>
    <x v="38"/>
  </r>
  <r>
    <s v="A303-0058"/>
    <s v="A"/>
    <s v="Yangon"/>
    <s v="Normal"/>
    <s v="Female"/>
    <s v="Food and beverages"/>
    <n v="12.31"/>
    <n v="5"/>
    <n v="3.08"/>
    <n v="64.63"/>
    <x v="4"/>
    <s v="20:30"/>
    <s v="Credit card"/>
    <n v="61.55"/>
    <n v="4.7618999999999998"/>
    <n v="3.08"/>
    <n v="9.6"/>
    <x v="4"/>
  </r>
  <r>
    <s v="A777-0059"/>
    <s v="A"/>
    <s v="Yangon"/>
    <s v="Member"/>
    <s v="Female"/>
    <s v="Fashion accessories"/>
    <n v="79.52"/>
    <n v="10"/>
    <n v="39.76"/>
    <n v="834.96"/>
    <x v="41"/>
    <s v="19:00"/>
    <s v="Credit card"/>
    <n v="795.2"/>
    <n v="4.7618999999999998"/>
    <n v="39.76"/>
    <n v="7.2"/>
    <x v="41"/>
  </r>
  <r>
    <s v="B570-0060"/>
    <s v="B"/>
    <s v="Mandalay"/>
    <s v="Member"/>
    <s v="Male"/>
    <s v="Health and beauty"/>
    <n v="86.46"/>
    <n v="8"/>
    <n v="34.58"/>
    <n v="726.26"/>
    <x v="42"/>
    <s v="16:25"/>
    <s v="Ewallet"/>
    <n v="691.68"/>
    <n v="4.7618999999999998"/>
    <n v="34.58"/>
    <n v="9.3000000000000007"/>
    <x v="42"/>
  </r>
  <r>
    <s v="C848-0061"/>
    <s v="C"/>
    <s v="Naypyitaw"/>
    <s v="Member"/>
    <s v="Male"/>
    <s v="Electronic accessories"/>
    <n v="76.040000000000006"/>
    <n v="5"/>
    <n v="19.010000000000002"/>
    <n v="399.21"/>
    <x v="43"/>
    <s v="18:35"/>
    <s v="Credit card"/>
    <n v="380.2"/>
    <n v="4.7618999999999998"/>
    <n v="19.010000000000002"/>
    <n v="6.6"/>
    <x v="43"/>
  </r>
  <r>
    <s v="C784-0062"/>
    <s v="C"/>
    <s v="Naypyitaw"/>
    <s v="Normal"/>
    <s v="Male"/>
    <s v="Electronic accessories"/>
    <n v="84.77"/>
    <n v="2"/>
    <n v="8.48"/>
    <n v="178.02"/>
    <x v="31"/>
    <s v="17:15"/>
    <s v="Credit card"/>
    <n v="169.54"/>
    <n v="4.7618999999999998"/>
    <n v="8.48"/>
    <n v="7.4"/>
    <x v="31"/>
  </r>
  <r>
    <s v="B710-0063"/>
    <s v="B"/>
    <s v="Mandalay"/>
    <s v="Normal"/>
    <s v="Female"/>
    <s v="Sports and travel"/>
    <n v="86.59"/>
    <n v="3"/>
    <n v="12.99"/>
    <n v="272.76"/>
    <x v="44"/>
    <s v="13:25"/>
    <s v="Credit card"/>
    <n v="259.77"/>
    <n v="4.7618999999999998"/>
    <n v="12.99"/>
    <n v="6"/>
    <x v="44"/>
  </r>
  <r>
    <s v="C807-0064"/>
    <s v="C"/>
    <s v="Naypyitaw"/>
    <s v="Normal"/>
    <s v="Female"/>
    <s v="Food and beverages"/>
    <n v="95.33"/>
    <n v="2"/>
    <n v="9.5299999999999994"/>
    <n v="200.19"/>
    <x v="35"/>
    <s v="16:35"/>
    <s v="Ewallet"/>
    <n v="190.66"/>
    <n v="4.7618999999999998"/>
    <n v="9.5299999999999994"/>
    <n v="8.5"/>
    <x v="35"/>
  </r>
  <r>
    <s v="B584-0065"/>
    <s v="B"/>
    <s v="Mandalay"/>
    <s v="Normal"/>
    <s v="Male"/>
    <s v="Health and beauty"/>
    <n v="18.37"/>
    <n v="4"/>
    <n v="3.67"/>
    <n v="77.150000000000006"/>
    <x v="7"/>
    <s v="13:20"/>
    <s v="Ewallet"/>
    <n v="73.48"/>
    <n v="4.7618999999999998"/>
    <n v="3.67"/>
    <n v="7.5"/>
    <x v="7"/>
  </r>
  <r>
    <s v="C838-0066"/>
    <s v="C"/>
    <s v="Naypyitaw"/>
    <s v="Normal"/>
    <s v="Male"/>
    <s v="Fashion accessories"/>
    <n v="59.53"/>
    <n v="6"/>
    <n v="17.86"/>
    <n v="375.04"/>
    <x v="45"/>
    <s v="14:20"/>
    <s v="Credit card"/>
    <n v="357.18"/>
    <n v="4.7618999999999998"/>
    <n v="17.86"/>
    <n v="5.4"/>
    <x v="45"/>
  </r>
  <r>
    <s v="A703-0067"/>
    <s v="A"/>
    <s v="Yangon"/>
    <s v="Normal"/>
    <s v="Female"/>
    <s v="Fashion accessories"/>
    <n v="58.23"/>
    <n v="3"/>
    <n v="8.73"/>
    <n v="183.42"/>
    <x v="16"/>
    <s v="13:55"/>
    <s v="Credit card"/>
    <n v="174.69"/>
    <n v="4.7618999999999998"/>
    <n v="8.73"/>
    <n v="5.7"/>
    <x v="16"/>
  </r>
  <r>
    <s v="C380-0068"/>
    <s v="C"/>
    <s v="Naypyitaw"/>
    <s v="Normal"/>
    <s v="Female"/>
    <s v="Electronic accessories"/>
    <n v="36.659999999999997"/>
    <n v="6"/>
    <n v="11"/>
    <n v="230.96"/>
    <x v="32"/>
    <s v="14:00"/>
    <s v="Ewallet"/>
    <n v="219.96"/>
    <n v="4.7618999999999998"/>
    <n v="11"/>
    <n v="7.2"/>
    <x v="32"/>
  </r>
  <r>
    <s v="A551-0069"/>
    <s v="A"/>
    <s v="Yangon"/>
    <s v="Member"/>
    <s v="Male"/>
    <s v="Fashion accessories"/>
    <n v="94.97"/>
    <n v="8"/>
    <n v="37.99"/>
    <n v="797.75"/>
    <x v="42"/>
    <s v="10:45"/>
    <s v="Credit card"/>
    <n v="759.76"/>
    <n v="4.7618999999999998"/>
    <n v="37.99"/>
    <n v="6.8"/>
    <x v="42"/>
  </r>
  <r>
    <s v="B744-0070"/>
    <s v="B"/>
    <s v="Mandalay"/>
    <s v="Member"/>
    <s v="Female"/>
    <s v="Home and lifestyle"/>
    <n v="94.7"/>
    <n v="8"/>
    <n v="37.880000000000003"/>
    <n v="795.48"/>
    <x v="46"/>
    <s v="11:30"/>
    <s v="Credit card"/>
    <n v="757.6"/>
    <n v="4.7618999999999998"/>
    <n v="37.880000000000003"/>
    <n v="4.4000000000000004"/>
    <x v="46"/>
  </r>
  <r>
    <s v="C720-0071"/>
    <s v="C"/>
    <s v="Naypyitaw"/>
    <s v="Member"/>
    <s v="Female"/>
    <s v="Electronic accessories"/>
    <n v="83"/>
    <n v="5"/>
    <n v="20.75"/>
    <n v="435.75"/>
    <x v="22"/>
    <s v="13:05"/>
    <s v="Ewallet"/>
    <n v="415"/>
    <n v="4.7618999999999998"/>
    <n v="20.75"/>
    <n v="8.6"/>
    <x v="22"/>
  </r>
  <r>
    <s v="C724-0072"/>
    <s v="C"/>
    <s v="Naypyitaw"/>
    <s v="Member"/>
    <s v="Male"/>
    <s v="Sports and travel"/>
    <n v="91.77"/>
    <n v="5"/>
    <n v="22.94"/>
    <n v="481.79"/>
    <x v="14"/>
    <s v="16:20"/>
    <s v="Ewallet"/>
    <n v="458.85"/>
    <n v="4.7618999999999998"/>
    <n v="22.94"/>
    <n v="7.7"/>
    <x v="14"/>
  </r>
  <r>
    <s v="C102-0073"/>
    <s v="C"/>
    <s v="Naypyitaw"/>
    <s v="Member"/>
    <s v="Female"/>
    <s v="Fashion accessories"/>
    <n v="28.99"/>
    <n v="2"/>
    <n v="2.9"/>
    <n v="60.88"/>
    <x v="2"/>
    <s v="13:10"/>
    <s v="Ewallet"/>
    <n v="57.98"/>
    <n v="4.7618999999999998"/>
    <n v="2.9"/>
    <n v="4.5"/>
    <x v="2"/>
  </r>
  <r>
    <s v="B370-0074"/>
    <s v="B"/>
    <s v="Mandalay"/>
    <s v="Normal"/>
    <s v="Male"/>
    <s v="Home and lifestyle"/>
    <n v="12.94"/>
    <n v="5"/>
    <n v="3.24"/>
    <n v="67.94"/>
    <x v="47"/>
    <s v="17:05"/>
    <s v="Ewallet"/>
    <n v="64.7"/>
    <n v="4.7618999999999998"/>
    <n v="3.24"/>
    <n v="5.4"/>
    <x v="47"/>
  </r>
  <r>
    <s v="C414-0075"/>
    <s v="C"/>
    <s v="Naypyitaw"/>
    <s v="Member"/>
    <s v="Male"/>
    <s v="Health and beauty"/>
    <n v="59.01"/>
    <n v="3"/>
    <n v="8.85"/>
    <n v="185.88"/>
    <x v="48"/>
    <s v="12:05"/>
    <s v="Cash"/>
    <n v="177.03"/>
    <n v="4.7618999999999998"/>
    <n v="8.85"/>
    <n v="5"/>
    <x v="48"/>
  </r>
  <r>
    <s v="C182-0076"/>
    <s v="C"/>
    <s v="Naypyitaw"/>
    <s v="Normal"/>
    <s v="Male"/>
    <s v="Health and beauty"/>
    <n v="52.18"/>
    <n v="5"/>
    <n v="13.04"/>
    <n v="273.94"/>
    <x v="7"/>
    <s v="14:40"/>
    <s v="Ewallet"/>
    <n v="260.89999999999998"/>
    <n v="4.7618999999999998"/>
    <n v="13.04"/>
    <n v="7"/>
    <x v="7"/>
  </r>
  <r>
    <s v="C689-0077"/>
    <s v="C"/>
    <s v="Naypyitaw"/>
    <s v="Member"/>
    <s v="Male"/>
    <s v="Fashion accessories"/>
    <n v="39.01"/>
    <n v="5"/>
    <n v="9.75"/>
    <n v="204.8"/>
    <x v="49"/>
    <s v="11:15"/>
    <s v="Ewallet"/>
    <n v="195.05"/>
    <n v="4.7618999999999998"/>
    <n v="9.75"/>
    <n v="9"/>
    <x v="49"/>
  </r>
  <r>
    <s v="C285-0078"/>
    <s v="C"/>
    <s v="Naypyitaw"/>
    <s v="Member"/>
    <s v="Male"/>
    <s v="Food and beverages"/>
    <n v="13.62"/>
    <n v="3"/>
    <n v="2.04"/>
    <n v="42.9"/>
    <x v="50"/>
    <s v="18:50"/>
    <s v="Credit card"/>
    <n v="40.86"/>
    <n v="4.7618999999999998"/>
    <n v="2.04"/>
    <n v="9.5"/>
    <x v="50"/>
  </r>
  <r>
    <s v="C437-0079"/>
    <s v="C"/>
    <s v="Naypyitaw"/>
    <s v="Normal"/>
    <s v="Male"/>
    <s v="Health and beauty"/>
    <n v="52.3"/>
    <n v="7"/>
    <n v="18.309999999999999"/>
    <n v="384.41"/>
    <x v="51"/>
    <s v="15:50"/>
    <s v="Cash"/>
    <n v="366.1"/>
    <n v="4.7618999999999998"/>
    <n v="18.309999999999999"/>
    <n v="9.1"/>
    <x v="51"/>
  </r>
  <r>
    <s v="B218-0080"/>
    <s v="B"/>
    <s v="Mandalay"/>
    <s v="Normal"/>
    <s v="Male"/>
    <s v="Fashion accessories"/>
    <n v="95.07"/>
    <n v="9"/>
    <n v="42.78"/>
    <n v="898.41"/>
    <x v="52"/>
    <s v="17:05"/>
    <s v="Credit card"/>
    <n v="855.63"/>
    <n v="4.7618999999999998"/>
    <n v="42.78"/>
    <n v="5.5"/>
    <x v="52"/>
  </r>
  <r>
    <s v="B152-0081"/>
    <s v="B"/>
    <s v="Mandalay"/>
    <s v="Member"/>
    <s v="Male"/>
    <s v="Sports and travel"/>
    <n v="14.88"/>
    <n v="9"/>
    <n v="6.7"/>
    <n v="140.62"/>
    <x v="53"/>
    <s v="19:35"/>
    <s v="Ewallet"/>
    <n v="133.91999999999999"/>
    <n v="4.7618999999999998"/>
    <n v="6.7"/>
    <n v="6.7"/>
    <x v="53"/>
  </r>
  <r>
    <s v="A826-0082"/>
    <s v="A"/>
    <s v="Yangon"/>
    <s v="Normal"/>
    <s v="Female"/>
    <s v="Home and lifestyle"/>
    <n v="49.43"/>
    <n v="8"/>
    <n v="19.77"/>
    <n v="415.21"/>
    <x v="41"/>
    <s v="10:50"/>
    <s v="Ewallet"/>
    <n v="395.44"/>
    <n v="4.7618999999999998"/>
    <n v="19.77"/>
    <n v="8.8000000000000007"/>
    <x v="41"/>
  </r>
  <r>
    <s v="A610-0083"/>
    <s v="A"/>
    <s v="Yangon"/>
    <s v="Normal"/>
    <s v="Female"/>
    <s v="Food and beverages"/>
    <n v="46.72"/>
    <n v="4"/>
    <n v="9.34"/>
    <n v="196.22"/>
    <x v="46"/>
    <s v="17:05"/>
    <s v="Ewallet"/>
    <n v="186.88"/>
    <n v="4.7618999999999998"/>
    <n v="9.34"/>
    <n v="9"/>
    <x v="46"/>
  </r>
  <r>
    <s v="C713-0084"/>
    <s v="C"/>
    <s v="Naypyitaw"/>
    <s v="Normal"/>
    <s v="Male"/>
    <s v="Sports and travel"/>
    <n v="85.13"/>
    <n v="8"/>
    <n v="34.049999999999997"/>
    <n v="715.09"/>
    <x v="40"/>
    <s v="17:40"/>
    <s v="Cash"/>
    <n v="681.04"/>
    <n v="4.7618999999999998"/>
    <n v="34.049999999999997"/>
    <n v="6.3"/>
    <x v="40"/>
  </r>
  <r>
    <s v="C405-0085"/>
    <s v="C"/>
    <s v="Naypyitaw"/>
    <s v="Member"/>
    <s v="Female"/>
    <s v="Home and lifestyle"/>
    <n v="79.540000000000006"/>
    <n v="7"/>
    <n v="27.84"/>
    <n v="584.62"/>
    <x v="54"/>
    <s v="18:20"/>
    <s v="Cash"/>
    <n v="556.78"/>
    <n v="4.7618999999999998"/>
    <n v="27.84"/>
    <n v="5.7"/>
    <x v="54"/>
  </r>
  <r>
    <s v="C429-0086"/>
    <s v="C"/>
    <s v="Naypyitaw"/>
    <s v="Normal"/>
    <s v="Female"/>
    <s v="Sports and travel"/>
    <n v="58.47"/>
    <n v="6"/>
    <n v="17.54"/>
    <n v="368.36"/>
    <x v="51"/>
    <s v="18:40"/>
    <s v="Credit card"/>
    <n v="350.82"/>
    <n v="4.7618999999999998"/>
    <n v="17.54"/>
    <n v="6.7"/>
    <x v="51"/>
  </r>
  <r>
    <s v="A930-0087"/>
    <s v="A"/>
    <s v="Yangon"/>
    <s v="Member"/>
    <s v="Male"/>
    <s v="Electronic accessories"/>
    <n v="87.04"/>
    <n v="7"/>
    <n v="30.46"/>
    <n v="639.74"/>
    <x v="55"/>
    <s v="15:55"/>
    <s v="Credit card"/>
    <n v="609.28"/>
    <n v="4.7618999999999998"/>
    <n v="30.46"/>
    <n v="8.1999999999999993"/>
    <x v="55"/>
  </r>
  <r>
    <s v="B550-0088"/>
    <s v="B"/>
    <s v="Mandalay"/>
    <s v="Normal"/>
    <s v="Female"/>
    <s v="Sports and travel"/>
    <n v="96.83"/>
    <n v="3"/>
    <n v="14.52"/>
    <n v="305.01"/>
    <x v="1"/>
    <s v="19:25"/>
    <s v="Cash"/>
    <n v="290.49"/>
    <n v="4.7618999999999998"/>
    <n v="14.52"/>
    <n v="9.1999999999999993"/>
    <x v="1"/>
  </r>
  <r>
    <s v="A507-0089"/>
    <s v="A"/>
    <s v="Yangon"/>
    <s v="Normal"/>
    <s v="Female"/>
    <s v="Fashion accessories"/>
    <n v="22.97"/>
    <n v="3"/>
    <n v="3.45"/>
    <n v="72.36"/>
    <x v="15"/>
    <s v="17:20"/>
    <s v="Credit card"/>
    <n v="68.91"/>
    <n v="4.7618999999999998"/>
    <n v="3.45"/>
    <n v="7.7"/>
    <x v="15"/>
  </r>
  <r>
    <s v="C136-0090"/>
    <s v="C"/>
    <s v="Naypyitaw"/>
    <s v="Member"/>
    <s v="Male"/>
    <s v="Fashion accessories"/>
    <n v="87.34"/>
    <n v="7"/>
    <n v="30.57"/>
    <n v="641.95000000000005"/>
    <x v="56"/>
    <s v="20:55"/>
    <s v="Credit card"/>
    <n v="611.38"/>
    <n v="4.7618999999999998"/>
    <n v="30.57"/>
    <n v="9.1999999999999993"/>
    <x v="56"/>
  </r>
  <r>
    <s v="C820-0091"/>
    <s v="C"/>
    <s v="Naypyitaw"/>
    <s v="Member"/>
    <s v="Female"/>
    <s v="Fashion accessories"/>
    <n v="71.599999999999994"/>
    <n v="5"/>
    <n v="17.899999999999999"/>
    <n v="375.9"/>
    <x v="57"/>
    <s v="11:30"/>
    <s v="Cash"/>
    <n v="358"/>
    <n v="4.7618999999999998"/>
    <n v="17.899999999999999"/>
    <n v="8.6"/>
    <x v="57"/>
  </r>
  <r>
    <s v="A541-0092"/>
    <s v="A"/>
    <s v="Yangon"/>
    <s v="Normal"/>
    <s v="Female"/>
    <s v="Fashion accessories"/>
    <n v="36.950000000000003"/>
    <n v="1"/>
    <n v="1.85"/>
    <n v="38.799999999999997"/>
    <x v="55"/>
    <s v="15:00"/>
    <s v="Credit card"/>
    <n v="36.950000000000003"/>
    <n v="4.7618999999999998"/>
    <n v="1.85"/>
    <n v="6.2"/>
    <x v="55"/>
  </r>
  <r>
    <s v="A734-0093"/>
    <s v="A"/>
    <s v="Yangon"/>
    <s v="Member"/>
    <s v="Male"/>
    <s v="Food and beverages"/>
    <n v="71.36"/>
    <n v="3"/>
    <n v="10.7"/>
    <n v="224.78"/>
    <x v="38"/>
    <s v="12:05"/>
    <s v="Ewallet"/>
    <n v="214.08"/>
    <n v="4.7618999999999998"/>
    <n v="10.7"/>
    <n v="9.1999999999999993"/>
    <x v="38"/>
  </r>
  <r>
    <s v="C923-0094"/>
    <s v="C"/>
    <s v="Naypyitaw"/>
    <s v="Member"/>
    <s v="Male"/>
    <s v="Food and beverages"/>
    <n v="22.88"/>
    <n v="8"/>
    <n v="9.15"/>
    <n v="192.19"/>
    <x v="5"/>
    <s v="14:35"/>
    <s v="Credit card"/>
    <n v="183.04"/>
    <n v="4.7618999999999998"/>
    <n v="9.15"/>
    <n v="8"/>
    <x v="5"/>
  </r>
  <r>
    <s v="B567-0095"/>
    <s v="B"/>
    <s v="Mandalay"/>
    <s v="Normal"/>
    <s v="Female"/>
    <s v="Health and beauty"/>
    <n v="49.76"/>
    <n v="6"/>
    <n v="14.93"/>
    <n v="313.49"/>
    <x v="14"/>
    <s v="14:50"/>
    <s v="Credit card"/>
    <n v="298.56"/>
    <n v="4.7618999999999998"/>
    <n v="14.93"/>
    <n v="8.1"/>
    <x v="14"/>
  </r>
  <r>
    <s v="B402-0096"/>
    <s v="B"/>
    <s v="Mandalay"/>
    <s v="Member"/>
    <s v="Male"/>
    <s v="Sports and travel"/>
    <n v="19.600000000000001"/>
    <n v="7"/>
    <n v="6.86"/>
    <n v="144.06"/>
    <x v="4"/>
    <s v="15:45"/>
    <s v="Credit card"/>
    <n v="137.19999999999999"/>
    <n v="4.7618999999999998"/>
    <n v="6.86"/>
    <n v="10"/>
    <x v="4"/>
  </r>
  <r>
    <s v="A460-0097"/>
    <s v="A"/>
    <s v="Yangon"/>
    <s v="Normal"/>
    <s v="Male"/>
    <s v="Health and beauty"/>
    <n v="60.93"/>
    <n v="1"/>
    <n v="3.05"/>
    <n v="63.98"/>
    <x v="3"/>
    <s v="17:20"/>
    <s v="Cash"/>
    <n v="60.93"/>
    <n v="4.7618999999999998"/>
    <n v="3.05"/>
    <n v="7.6"/>
    <x v="3"/>
  </r>
  <r>
    <s v="A907-0098"/>
    <s v="A"/>
    <s v="Yangon"/>
    <s v="Member"/>
    <s v="Male"/>
    <s v="Fashion accessories"/>
    <n v="78"/>
    <n v="3"/>
    <n v="11.7"/>
    <n v="245.7"/>
    <x v="58"/>
    <s v="11:50"/>
    <s v="Ewallet"/>
    <n v="234"/>
    <n v="4.7618999999999998"/>
    <n v="11.7"/>
    <n v="4.2"/>
    <x v="58"/>
  </r>
  <r>
    <s v="B652-0099"/>
    <s v="B"/>
    <s v="Mandalay"/>
    <s v="Member"/>
    <s v="Male"/>
    <s v="Fashion accessories"/>
    <n v="21.83"/>
    <n v="5"/>
    <n v="5.46"/>
    <n v="114.61"/>
    <x v="59"/>
    <s v="16:10"/>
    <s v="Cash"/>
    <n v="109.15"/>
    <n v="4.7618999999999998"/>
    <n v="5.46"/>
    <n v="4.8"/>
    <x v="59"/>
  </r>
  <r>
    <s v="B244-0100"/>
    <s v="B"/>
    <s v="Mandalay"/>
    <s v="Normal"/>
    <s v="Female"/>
    <s v="Home and lifestyle"/>
    <n v="92.26"/>
    <n v="8"/>
    <n v="36.9"/>
    <n v="774.98"/>
    <x v="60"/>
    <s v="15:05"/>
    <s v="Credit card"/>
    <n v="738.08"/>
    <n v="4.7618999999999998"/>
    <n v="36.9"/>
    <n v="9.8000000000000007"/>
    <x v="60"/>
  </r>
  <r>
    <s v="A866-0101"/>
    <s v="A"/>
    <s v="Yangon"/>
    <s v="Normal"/>
    <s v="Male"/>
    <s v="Health and beauty"/>
    <n v="81.16"/>
    <n v="1"/>
    <n v="4.0599999999999996"/>
    <n v="85.22"/>
    <x v="20"/>
    <s v="18:05"/>
    <s v="Credit card"/>
    <n v="81.16"/>
    <n v="4.7618999999999998"/>
    <n v="4.0599999999999996"/>
    <n v="6.2"/>
    <x v="20"/>
  </r>
  <r>
    <s v="C674-0102"/>
    <s v="C"/>
    <s v="Naypyitaw"/>
    <s v="Normal"/>
    <s v="Male"/>
    <s v="Fashion accessories"/>
    <n v="94.63"/>
    <n v="2"/>
    <n v="9.4600000000000009"/>
    <n v="198.72"/>
    <x v="61"/>
    <s v="13:35"/>
    <s v="Cash"/>
    <n v="189.26"/>
    <n v="4.7618999999999998"/>
    <n v="9.4600000000000009"/>
    <n v="7.7"/>
    <x v="61"/>
  </r>
  <r>
    <s v="B138-0103"/>
    <s v="B"/>
    <s v="Mandalay"/>
    <s v="Member"/>
    <s v="Female"/>
    <s v="Fashion accessories"/>
    <n v="84.15"/>
    <n v="5"/>
    <n v="21.04"/>
    <n v="441.79"/>
    <x v="62"/>
    <s v="16:05"/>
    <s v="Cash"/>
    <n v="420.75"/>
    <n v="4.7618999999999998"/>
    <n v="21.04"/>
    <n v="4.3"/>
    <x v="62"/>
  </r>
  <r>
    <s v="B860-0104"/>
    <s v="B"/>
    <s v="Mandalay"/>
    <s v="Normal"/>
    <s v="Female"/>
    <s v="Health and beauty"/>
    <n v="31.13"/>
    <n v="9"/>
    <n v="14.01"/>
    <n v="294.18"/>
    <x v="0"/>
    <s v="16:35"/>
    <s v="Credit card"/>
    <n v="280.17"/>
    <n v="4.7618999999999998"/>
    <n v="14.01"/>
    <n v="8"/>
    <x v="0"/>
  </r>
  <r>
    <s v="C322-0105"/>
    <s v="C"/>
    <s v="Naypyitaw"/>
    <s v="Normal"/>
    <s v="Female"/>
    <s v="Sports and travel"/>
    <n v="68.94"/>
    <n v="8"/>
    <n v="27.58"/>
    <n v="579.1"/>
    <x v="43"/>
    <s v="16:20"/>
    <s v="Cash"/>
    <n v="551.52"/>
    <n v="4.7618999999999998"/>
    <n v="27.58"/>
    <n v="8.1"/>
    <x v="43"/>
  </r>
  <r>
    <s v="B294-0106"/>
    <s v="B"/>
    <s v="Mandalay"/>
    <s v="Normal"/>
    <s v="Female"/>
    <s v="Home and lifestyle"/>
    <n v="18.940000000000001"/>
    <n v="6"/>
    <n v="5.68"/>
    <n v="119.32"/>
    <x v="63"/>
    <s v="20:25"/>
    <s v="Cash"/>
    <n v="113.64"/>
    <n v="4.7618999999999998"/>
    <n v="5.68"/>
    <n v="6.4"/>
    <x v="63"/>
  </r>
  <r>
    <s v="A905-0107"/>
    <s v="A"/>
    <s v="Yangon"/>
    <s v="Normal"/>
    <s v="Female"/>
    <s v="Fashion accessories"/>
    <n v="29.09"/>
    <n v="10"/>
    <n v="14.54"/>
    <n v="305.44"/>
    <x v="37"/>
    <s v="10:25"/>
    <s v="Cash"/>
    <n v="290.89999999999998"/>
    <n v="4.7618999999999998"/>
    <n v="14.54"/>
    <n v="9.9"/>
    <x v="37"/>
  </r>
  <r>
    <s v="C979-0108"/>
    <s v="C"/>
    <s v="Naypyitaw"/>
    <s v="Member"/>
    <s v="Female"/>
    <s v="Food and beverages"/>
    <n v="28.64"/>
    <n v="4"/>
    <n v="5.73"/>
    <n v="120.29"/>
    <x v="57"/>
    <s v="15:10"/>
    <s v="Ewallet"/>
    <n v="114.56"/>
    <n v="4.7618999999999998"/>
    <n v="5.73"/>
    <n v="4"/>
    <x v="57"/>
  </r>
  <r>
    <s v="A116-0109"/>
    <s v="A"/>
    <s v="Yangon"/>
    <s v="Member"/>
    <s v="Male"/>
    <s v="Electronic accessories"/>
    <n v="19.89"/>
    <n v="1"/>
    <n v="0.99"/>
    <n v="20.88"/>
    <x v="27"/>
    <s v="10:25"/>
    <s v="Cash"/>
    <n v="19.89"/>
    <n v="4.7618999999999998"/>
    <n v="0.99"/>
    <n v="7.5"/>
    <x v="27"/>
  </r>
  <r>
    <s v="A625-0110"/>
    <s v="A"/>
    <s v="Yangon"/>
    <s v="Normal"/>
    <s v="Female"/>
    <s v="Electronic accessories"/>
    <n v="76.75"/>
    <n v="9"/>
    <n v="34.54"/>
    <n v="725.29"/>
    <x v="46"/>
    <s v="11:35"/>
    <s v="Credit card"/>
    <n v="690.75"/>
    <n v="4.7618999999999998"/>
    <n v="34.54"/>
    <n v="8.6999999999999993"/>
    <x v="46"/>
  </r>
  <r>
    <s v="C131-0111"/>
    <s v="C"/>
    <s v="Naypyitaw"/>
    <s v="Member"/>
    <s v="Male"/>
    <s v="Food and beverages"/>
    <n v="29.94"/>
    <n v="10"/>
    <n v="14.97"/>
    <n v="314.37"/>
    <x v="55"/>
    <s v="20:40"/>
    <s v="Credit card"/>
    <n v="299.39999999999998"/>
    <n v="4.7618999999999998"/>
    <n v="14.97"/>
    <n v="6.7"/>
    <x v="55"/>
  </r>
  <r>
    <s v="A167-0112"/>
    <s v="A"/>
    <s v="Yangon"/>
    <s v="Normal"/>
    <s v="Male"/>
    <s v="Sports and travel"/>
    <n v="71.75"/>
    <n v="8"/>
    <n v="28.7"/>
    <n v="602.70000000000005"/>
    <x v="64"/>
    <s v="11:05"/>
    <s v="Credit card"/>
    <n v="574"/>
    <n v="4.7618999999999998"/>
    <n v="28.7"/>
    <n v="7.6"/>
    <x v="64"/>
  </r>
  <r>
    <s v="A912-0113"/>
    <s v="A"/>
    <s v="Yangon"/>
    <s v="Normal"/>
    <s v="Male"/>
    <s v="Sports and travel"/>
    <n v="99.52"/>
    <n v="9"/>
    <n v="44.78"/>
    <n v="940.46"/>
    <x v="60"/>
    <s v="17:40"/>
    <s v="Ewallet"/>
    <n v="895.68"/>
    <n v="4.7618999999999998"/>
    <n v="44.78"/>
    <n v="6.6"/>
    <x v="60"/>
  </r>
  <r>
    <s v="C197-0114"/>
    <s v="C"/>
    <s v="Naypyitaw"/>
    <s v="Member"/>
    <s v="Female"/>
    <s v="Sports and travel"/>
    <n v="50.64"/>
    <n v="4"/>
    <n v="10.130000000000001"/>
    <n v="212.69"/>
    <x v="29"/>
    <s v="15:35"/>
    <s v="Credit card"/>
    <n v="202.56"/>
    <n v="4.7618999999999998"/>
    <n v="10.130000000000001"/>
    <n v="6.5"/>
    <x v="29"/>
  </r>
  <r>
    <s v="B195-0115"/>
    <s v="B"/>
    <s v="Mandalay"/>
    <s v="Normal"/>
    <s v="Male"/>
    <s v="Fashion accessories"/>
    <n v="32.94"/>
    <n v="3"/>
    <n v="4.9400000000000004"/>
    <n v="103.76"/>
    <x v="65"/>
    <s v="17:05"/>
    <s v="Cash"/>
    <n v="98.82"/>
    <n v="4.7618999999999998"/>
    <n v="4.9400000000000004"/>
    <n v="9"/>
    <x v="65"/>
  </r>
  <r>
    <s v="B462-0116"/>
    <s v="B"/>
    <s v="Mandalay"/>
    <s v="Member"/>
    <s v="Male"/>
    <s v="Electronic accessories"/>
    <n v="60.07"/>
    <n v="10"/>
    <n v="30.04"/>
    <n v="630.74"/>
    <x v="26"/>
    <s v="18:25"/>
    <s v="Ewallet"/>
    <n v="600.70000000000005"/>
    <n v="4.7618999999999998"/>
    <n v="30.04"/>
    <n v="4.7"/>
    <x v="26"/>
  </r>
  <r>
    <s v="C593-0117"/>
    <s v="C"/>
    <s v="Naypyitaw"/>
    <s v="Normal"/>
    <s v="Female"/>
    <s v="Home and lifestyle"/>
    <n v="64.040000000000006"/>
    <n v="6"/>
    <n v="19.21"/>
    <n v="403.45"/>
    <x v="42"/>
    <s v="19:40"/>
    <s v="Cash"/>
    <n v="384.24"/>
    <n v="4.7618999999999998"/>
    <n v="19.21"/>
    <n v="4.9000000000000004"/>
    <x v="42"/>
  </r>
  <r>
    <s v="A938-0118"/>
    <s v="A"/>
    <s v="Yangon"/>
    <s v="Member"/>
    <s v="Male"/>
    <s v="Food and beverages"/>
    <n v="43.08"/>
    <n v="5"/>
    <n v="10.77"/>
    <n v="226.17"/>
    <x v="4"/>
    <s v="13:30"/>
    <s v="Ewallet"/>
    <n v="215.4"/>
    <n v="4.7618999999999998"/>
    <n v="10.77"/>
    <n v="9.8000000000000007"/>
    <x v="4"/>
  </r>
  <r>
    <s v="C679-0119"/>
    <s v="C"/>
    <s v="Naypyitaw"/>
    <s v="Member"/>
    <s v="Male"/>
    <s v="Health and beauty"/>
    <n v="26.24"/>
    <n v="5"/>
    <n v="6.56"/>
    <n v="137.76"/>
    <x v="54"/>
    <s v="15:00"/>
    <s v="Cash"/>
    <n v="131.19999999999999"/>
    <n v="4.7618999999999998"/>
    <n v="6.56"/>
    <n v="9.1999999999999993"/>
    <x v="54"/>
  </r>
  <r>
    <s v="C449-0120"/>
    <s v="C"/>
    <s v="Naypyitaw"/>
    <s v="Normal"/>
    <s v="Female"/>
    <s v="Electronic accessories"/>
    <n v="76.69"/>
    <n v="1"/>
    <n v="3.83"/>
    <n v="80.52"/>
    <x v="19"/>
    <s v="18:15"/>
    <s v="Credit card"/>
    <n v="76.69"/>
    <n v="4.7618999999999998"/>
    <n v="3.83"/>
    <n v="6.5"/>
    <x v="19"/>
  </r>
  <r>
    <s v="A732-0121"/>
    <s v="A"/>
    <s v="Yangon"/>
    <s v="Normal"/>
    <s v="Male"/>
    <s v="Fashion accessories"/>
    <n v="39.19"/>
    <n v="10"/>
    <n v="19.59"/>
    <n v="411.49"/>
    <x v="10"/>
    <s v="11:00"/>
    <s v="Cash"/>
    <n v="391.9"/>
    <n v="4.7618999999999998"/>
    <n v="19.59"/>
    <n v="4.9000000000000004"/>
    <x v="10"/>
  </r>
  <r>
    <s v="A624-0122"/>
    <s v="A"/>
    <s v="Yangon"/>
    <s v="Member"/>
    <s v="Male"/>
    <s v="Sports and travel"/>
    <n v="69.569999999999993"/>
    <n v="8"/>
    <n v="27.83"/>
    <n v="584.39"/>
    <x v="3"/>
    <s v="17:30"/>
    <s v="Credit card"/>
    <n v="556.55999999999995"/>
    <n v="4.7618999999999998"/>
    <n v="27.83"/>
    <n v="5.3"/>
    <x v="3"/>
  </r>
  <r>
    <s v="A504-0123"/>
    <s v="A"/>
    <s v="Yangon"/>
    <s v="Normal"/>
    <s v="Male"/>
    <s v="Health and beauty"/>
    <n v="35.49"/>
    <n v="10"/>
    <n v="17.75"/>
    <n v="372.65"/>
    <x v="44"/>
    <s v="18:50"/>
    <s v="Credit card"/>
    <n v="354.9"/>
    <n v="4.7618999999999998"/>
    <n v="17.75"/>
    <n v="4.3"/>
    <x v="44"/>
  </r>
  <r>
    <s v="C609-0124"/>
    <s v="C"/>
    <s v="Naypyitaw"/>
    <s v="Member"/>
    <s v="Female"/>
    <s v="Electronic accessories"/>
    <n v="37.130000000000003"/>
    <n v="4"/>
    <n v="7.43"/>
    <n v="155.94999999999999"/>
    <x v="0"/>
    <s v="14:20"/>
    <s v="Credit card"/>
    <n v="148.52000000000001"/>
    <n v="4.7618999999999998"/>
    <n v="7.43"/>
    <n v="4.7"/>
    <x v="0"/>
  </r>
  <r>
    <s v="C982-0125"/>
    <s v="C"/>
    <s v="Naypyitaw"/>
    <s v="Normal"/>
    <s v="Female"/>
    <s v="Electronic accessories"/>
    <n v="44.22"/>
    <n v="4"/>
    <n v="8.84"/>
    <n v="185.72"/>
    <x v="1"/>
    <s v="18:50"/>
    <s v="Credit card"/>
    <n v="176.88"/>
    <n v="4.7618999999999998"/>
    <n v="8.84"/>
    <n v="4.4000000000000004"/>
    <x v="1"/>
  </r>
  <r>
    <s v="C755-0126"/>
    <s v="C"/>
    <s v="Naypyitaw"/>
    <s v="Member"/>
    <s v="Male"/>
    <s v="Health and beauty"/>
    <n v="51.38"/>
    <n v="2"/>
    <n v="5.14"/>
    <n v="107.9"/>
    <x v="56"/>
    <s v="19:30"/>
    <s v="Ewallet"/>
    <n v="102.76"/>
    <n v="4.7618999999999998"/>
    <n v="5.14"/>
    <n v="6.4"/>
    <x v="56"/>
  </r>
  <r>
    <s v="B190-0127"/>
    <s v="B"/>
    <s v="Mandalay"/>
    <s v="Normal"/>
    <s v="Female"/>
    <s v="Sports and travel"/>
    <n v="11.88"/>
    <n v="6"/>
    <n v="3.56"/>
    <n v="74.84"/>
    <x v="38"/>
    <s v="19:35"/>
    <s v="Ewallet"/>
    <n v="71.28"/>
    <n v="4.7618999999999998"/>
    <n v="3.56"/>
    <n v="9.5"/>
    <x v="38"/>
  </r>
  <r>
    <s v="B441-0128"/>
    <s v="B"/>
    <s v="Mandalay"/>
    <s v="Member"/>
    <s v="Female"/>
    <s v="Sports and travel"/>
    <n v="63"/>
    <n v="9"/>
    <n v="28.35"/>
    <n v="595.35"/>
    <x v="22"/>
    <s v="16:20"/>
    <s v="Ewallet"/>
    <n v="567"/>
    <n v="4.7618999999999998"/>
    <n v="28.35"/>
    <n v="6"/>
    <x v="22"/>
  </r>
  <r>
    <s v="A362-0129"/>
    <s v="A"/>
    <s v="Yangon"/>
    <s v="Member"/>
    <s v="Female"/>
    <s v="Food and beverages"/>
    <n v="55.9"/>
    <n v="6"/>
    <n v="16.77"/>
    <n v="352.17"/>
    <x v="66"/>
    <s v="20:10"/>
    <s v="Cash"/>
    <n v="335.4"/>
    <n v="4.7618999999999998"/>
    <n v="16.77"/>
    <n v="4.5999999999999996"/>
    <x v="66"/>
  </r>
  <r>
    <s v="A678-0130"/>
    <s v="A"/>
    <s v="Yangon"/>
    <s v="Member"/>
    <s v="Female"/>
    <s v="Fashion accessories"/>
    <n v="16.78"/>
    <n v="8"/>
    <n v="6.71"/>
    <n v="140.94999999999999"/>
    <x v="6"/>
    <s v="19:45"/>
    <s v="Credit card"/>
    <n v="134.24"/>
    <n v="4.7618999999999998"/>
    <n v="6.71"/>
    <n v="8.1"/>
    <x v="6"/>
  </r>
  <r>
    <s v="C460-0131"/>
    <s v="C"/>
    <s v="Naypyitaw"/>
    <s v="Normal"/>
    <s v="Male"/>
    <s v="Electronic accessories"/>
    <n v="49.58"/>
    <n v="8"/>
    <n v="19.829999999999998"/>
    <n v="416.47"/>
    <x v="64"/>
    <s v="20:20"/>
    <s v="Credit card"/>
    <n v="396.64"/>
    <n v="4.7618999999999998"/>
    <n v="19.829999999999998"/>
    <n v="7.5"/>
    <x v="64"/>
  </r>
  <r>
    <s v="C975-0132"/>
    <s v="C"/>
    <s v="Naypyitaw"/>
    <s v="Member"/>
    <s v="Male"/>
    <s v="Sports and travel"/>
    <n v="50.67"/>
    <n v="1"/>
    <n v="2.5299999999999998"/>
    <n v="53.2"/>
    <x v="67"/>
    <s v="14:05"/>
    <s v="Ewallet"/>
    <n v="50.67"/>
    <n v="4.7618999999999998"/>
    <n v="2.5299999999999998"/>
    <n v="9.1999999999999993"/>
    <x v="67"/>
  </r>
  <r>
    <s v="A587-0133"/>
    <s v="A"/>
    <s v="Yangon"/>
    <s v="Normal"/>
    <s v="Male"/>
    <s v="Food and beverages"/>
    <n v="59.89"/>
    <n v="1"/>
    <n v="2.99"/>
    <n v="62.88"/>
    <x v="68"/>
    <s v="19:50"/>
    <s v="Cash"/>
    <n v="59.89"/>
    <n v="4.7618999999999998"/>
    <n v="2.99"/>
    <n v="5.9"/>
    <x v="68"/>
  </r>
  <r>
    <s v="C824-0134"/>
    <s v="C"/>
    <s v="Naypyitaw"/>
    <s v="Member"/>
    <s v="Female"/>
    <s v="Sports and travel"/>
    <n v="19.32"/>
    <n v="6"/>
    <n v="5.8"/>
    <n v="121.72"/>
    <x v="22"/>
    <s v="18:50"/>
    <s v="Cash"/>
    <n v="115.92"/>
    <n v="4.7618999999999998"/>
    <n v="5.8"/>
    <n v="4.2"/>
    <x v="22"/>
  </r>
  <r>
    <s v="B908-0135"/>
    <s v="B"/>
    <s v="Mandalay"/>
    <s v="Normal"/>
    <s v="Female"/>
    <s v="Home and lifestyle"/>
    <n v="43.56"/>
    <n v="5"/>
    <n v="10.89"/>
    <n v="228.69"/>
    <x v="33"/>
    <s v="16:25"/>
    <s v="Ewallet"/>
    <n v="217.8"/>
    <n v="4.7618999999999998"/>
    <n v="10.89"/>
    <n v="7.6"/>
    <x v="33"/>
  </r>
  <r>
    <s v="C717-0136"/>
    <s v="C"/>
    <s v="Naypyitaw"/>
    <s v="Normal"/>
    <s v="Female"/>
    <s v="Home and lifestyle"/>
    <n v="18.510000000000002"/>
    <n v="7"/>
    <n v="6.48"/>
    <n v="136.05000000000001"/>
    <x v="47"/>
    <s v="14:55"/>
    <s v="Ewallet"/>
    <n v="129.57"/>
    <n v="4.7618999999999998"/>
    <n v="6.48"/>
    <n v="9.8000000000000007"/>
    <x v="47"/>
  </r>
  <r>
    <s v="A709-0137"/>
    <s v="A"/>
    <s v="Yangon"/>
    <s v="Normal"/>
    <s v="Female"/>
    <s v="Food and beverages"/>
    <n v="69.73"/>
    <n v="6"/>
    <n v="20.92"/>
    <n v="439.3"/>
    <x v="12"/>
    <s v="20:55"/>
    <s v="Ewallet"/>
    <n v="418.38"/>
    <n v="4.7618999999999998"/>
    <n v="20.92"/>
    <n v="6.4"/>
    <x v="12"/>
  </r>
  <r>
    <s v="C639-0138"/>
    <s v="C"/>
    <s v="Naypyitaw"/>
    <s v="Member"/>
    <s v="Male"/>
    <s v="Food and beverages"/>
    <n v="43.9"/>
    <n v="6"/>
    <n v="13.17"/>
    <n v="276.57"/>
    <x v="27"/>
    <s v="20:55"/>
    <s v="Ewallet"/>
    <n v="263.39999999999998"/>
    <n v="4.7618999999999998"/>
    <n v="13.17"/>
    <n v="10"/>
    <x v="27"/>
  </r>
  <r>
    <s v="A240-0139"/>
    <s v="A"/>
    <s v="Yangon"/>
    <s v="Normal"/>
    <s v="Male"/>
    <s v="Health and beauty"/>
    <n v="42.63"/>
    <n v="3"/>
    <n v="6.39"/>
    <n v="134.28"/>
    <x v="69"/>
    <s v="15:35"/>
    <s v="Cash"/>
    <n v="127.89"/>
    <n v="4.7618999999999998"/>
    <n v="6.39"/>
    <n v="5.4"/>
    <x v="69"/>
  </r>
  <r>
    <s v="A732-0140"/>
    <s v="A"/>
    <s v="Yangon"/>
    <s v="Member"/>
    <s v="Male"/>
    <s v="Health and beauty"/>
    <n v="55.69"/>
    <n v="9"/>
    <n v="25.06"/>
    <n v="526.27"/>
    <x v="70"/>
    <s v="10:50"/>
    <s v="Credit card"/>
    <n v="501.21"/>
    <n v="4.7618999999999998"/>
    <n v="25.06"/>
    <n v="9.3000000000000007"/>
    <x v="70"/>
  </r>
  <r>
    <s v="A836-0141"/>
    <s v="A"/>
    <s v="Yangon"/>
    <s v="Normal"/>
    <s v="Female"/>
    <s v="Electronic accessories"/>
    <n v="26.28"/>
    <n v="10"/>
    <n v="13.14"/>
    <n v="275.94"/>
    <x v="38"/>
    <s v="17:00"/>
    <s v="Credit card"/>
    <n v="262.8"/>
    <n v="4.7618999999999998"/>
    <n v="13.14"/>
    <n v="6.2"/>
    <x v="38"/>
  </r>
  <r>
    <s v="A298-0142"/>
    <s v="A"/>
    <s v="Yangon"/>
    <s v="Normal"/>
    <s v="Male"/>
    <s v="Fashion accessories"/>
    <n v="80.540000000000006"/>
    <n v="4"/>
    <n v="16.11"/>
    <n v="338.27"/>
    <x v="71"/>
    <s v="13:20"/>
    <s v="Credit card"/>
    <n v="322.16000000000003"/>
    <n v="4.7618999999999998"/>
    <n v="16.11"/>
    <n v="9.4"/>
    <x v="71"/>
  </r>
  <r>
    <s v="B241-0143"/>
    <s v="B"/>
    <s v="Mandalay"/>
    <s v="Normal"/>
    <s v="Male"/>
    <s v="Home and lifestyle"/>
    <n v="80.03"/>
    <n v="9"/>
    <n v="36.01"/>
    <n v="756.28"/>
    <x v="70"/>
    <s v="16:10"/>
    <s v="Cash"/>
    <n v="720.27"/>
    <n v="4.7618999999999998"/>
    <n v="36.01"/>
    <n v="8.8000000000000007"/>
    <x v="70"/>
  </r>
  <r>
    <s v="B379-0144"/>
    <s v="B"/>
    <s v="Mandalay"/>
    <s v="Member"/>
    <s v="Male"/>
    <s v="Home and lifestyle"/>
    <n v="59.91"/>
    <n v="2"/>
    <n v="5.99"/>
    <n v="125.81"/>
    <x v="72"/>
    <s v="11:20"/>
    <s v="Cash"/>
    <n v="119.82"/>
    <n v="4.7618999999999998"/>
    <n v="5.99"/>
    <n v="8.6"/>
    <x v="72"/>
  </r>
  <r>
    <s v="B614-0145"/>
    <s v="B"/>
    <s v="Mandalay"/>
    <s v="Member"/>
    <s v="Male"/>
    <s v="Health and beauty"/>
    <n v="95.18"/>
    <n v="4"/>
    <n v="19.04"/>
    <n v="399.76"/>
    <x v="68"/>
    <s v="15:00"/>
    <s v="Credit card"/>
    <n v="380.72"/>
    <n v="4.7618999999999998"/>
    <n v="19.04"/>
    <n v="4.3"/>
    <x v="68"/>
  </r>
  <r>
    <s v="B249-0146"/>
    <s v="B"/>
    <s v="Mandalay"/>
    <s v="Member"/>
    <s v="Male"/>
    <s v="Health and beauty"/>
    <n v="43.74"/>
    <n v="1"/>
    <n v="2.19"/>
    <n v="45.93"/>
    <x v="56"/>
    <s v="11:55"/>
    <s v="Ewallet"/>
    <n v="43.74"/>
    <n v="4.7618999999999998"/>
    <n v="2.19"/>
    <n v="6"/>
    <x v="56"/>
  </r>
  <r>
    <s v="A119-0147"/>
    <s v="A"/>
    <s v="Yangon"/>
    <s v="Member"/>
    <s v="Male"/>
    <s v="Sports and travel"/>
    <n v="72.650000000000006"/>
    <n v="3"/>
    <n v="10.9"/>
    <n v="228.85"/>
    <x v="50"/>
    <s v="17:45"/>
    <s v="Cash"/>
    <n v="217.95"/>
    <n v="4.7618999999999998"/>
    <n v="10.9"/>
    <n v="9.4"/>
    <x v="50"/>
  </r>
  <r>
    <s v="B224-0148"/>
    <s v="B"/>
    <s v="Mandalay"/>
    <s v="Member"/>
    <s v="Female"/>
    <s v="Food and beverages"/>
    <n v="94.62"/>
    <n v="10"/>
    <n v="47.31"/>
    <n v="993.51"/>
    <x v="70"/>
    <s v="16:05"/>
    <s v="Credit card"/>
    <n v="946.2"/>
    <n v="4.7618999999999998"/>
    <n v="47.31"/>
    <n v="5.4"/>
    <x v="70"/>
  </r>
  <r>
    <s v="A747-0149"/>
    <s v="A"/>
    <s v="Yangon"/>
    <s v="Member"/>
    <s v="Male"/>
    <s v="Fashion accessories"/>
    <n v="81.45"/>
    <n v="8"/>
    <n v="32.58"/>
    <n v="684.18"/>
    <x v="36"/>
    <s v="11:35"/>
    <s v="Ewallet"/>
    <n v="651.6"/>
    <n v="4.7618999999999998"/>
    <n v="32.58"/>
    <n v="7.2"/>
    <x v="36"/>
  </r>
  <r>
    <s v="C784-0150"/>
    <s v="C"/>
    <s v="Naypyitaw"/>
    <s v="Member"/>
    <s v="Female"/>
    <s v="Home and lifestyle"/>
    <n v="48.63"/>
    <n v="10"/>
    <n v="24.32"/>
    <n v="510.62"/>
    <x v="28"/>
    <s v="13:45"/>
    <s v="Credit card"/>
    <n v="486.3"/>
    <n v="4.7618999999999998"/>
    <n v="24.32"/>
    <n v="5.0999999999999996"/>
    <x v="28"/>
  </r>
  <r>
    <s v="A496-0151"/>
    <s v="A"/>
    <s v="Yangon"/>
    <s v="Normal"/>
    <s v="Female"/>
    <s v="Food and beverages"/>
    <n v="58.97"/>
    <n v="9"/>
    <n v="26.54"/>
    <n v="557.27"/>
    <x v="25"/>
    <s v="10:30"/>
    <s v="Credit card"/>
    <n v="530.73"/>
    <n v="4.7618999999999998"/>
    <n v="26.54"/>
    <n v="4.3"/>
    <x v="25"/>
  </r>
  <r>
    <s v="B852-0152"/>
    <s v="B"/>
    <s v="Mandalay"/>
    <s v="Normal"/>
    <s v="Female"/>
    <s v="Home and lifestyle"/>
    <n v="80.97"/>
    <n v="6"/>
    <n v="24.29"/>
    <n v="510.11"/>
    <x v="35"/>
    <s v="20:50"/>
    <s v="Cash"/>
    <n v="485.82"/>
    <n v="4.7618999999999998"/>
    <n v="24.29"/>
    <n v="8.6"/>
    <x v="35"/>
  </r>
  <r>
    <s v="B930-0153"/>
    <s v="B"/>
    <s v="Mandalay"/>
    <s v="Member"/>
    <s v="Female"/>
    <s v="Home and lifestyle"/>
    <n v="59.14"/>
    <n v="3"/>
    <n v="8.8699999999999992"/>
    <n v="186.29"/>
    <x v="65"/>
    <s v="17:55"/>
    <s v="Credit card"/>
    <n v="177.42"/>
    <n v="4.7618999999999998"/>
    <n v="8.8699999999999992"/>
    <n v="7.8"/>
    <x v="65"/>
  </r>
  <r>
    <s v="A934-0154"/>
    <s v="A"/>
    <s v="Yangon"/>
    <s v="Member"/>
    <s v="Male"/>
    <s v="Health and beauty"/>
    <n v="36.409999999999997"/>
    <n v="1"/>
    <n v="1.82"/>
    <n v="38.229999999999997"/>
    <x v="30"/>
    <s v="10:25"/>
    <s v="Credit card"/>
    <n v="36.409999999999997"/>
    <n v="4.7618999999999998"/>
    <n v="1.82"/>
    <n v="7.1"/>
    <x v="30"/>
  </r>
  <r>
    <s v="C227-0155"/>
    <s v="C"/>
    <s v="Naypyitaw"/>
    <s v="Normal"/>
    <s v="Male"/>
    <s v="Health and beauty"/>
    <n v="77.8"/>
    <n v="4"/>
    <n v="15.56"/>
    <n v="326.76"/>
    <x v="47"/>
    <s v="15:00"/>
    <s v="Ewallet"/>
    <n v="311.2"/>
    <n v="4.7618999999999998"/>
    <n v="15.56"/>
    <n v="6"/>
    <x v="47"/>
  </r>
  <r>
    <s v="B916-0156"/>
    <s v="B"/>
    <s v="Mandalay"/>
    <s v="Normal"/>
    <s v="Male"/>
    <s v="Fashion accessories"/>
    <n v="49.58"/>
    <n v="7"/>
    <n v="17.350000000000001"/>
    <n v="364.41"/>
    <x v="54"/>
    <s v="12:35"/>
    <s v="Ewallet"/>
    <n v="347.06"/>
    <n v="4.7618999999999998"/>
    <n v="17.350000000000001"/>
    <n v="7"/>
    <x v="54"/>
  </r>
  <r>
    <s v="C181-0157"/>
    <s v="C"/>
    <s v="Naypyitaw"/>
    <s v="Normal"/>
    <s v="Female"/>
    <s v="Fashion accessories"/>
    <n v="48.2"/>
    <n v="7"/>
    <n v="16.87"/>
    <n v="354.27"/>
    <x v="3"/>
    <s v="12:40"/>
    <s v="Credit card"/>
    <n v="337.4"/>
    <n v="4.7618999999999998"/>
    <n v="16.87"/>
    <n v="5.9"/>
    <x v="3"/>
  </r>
  <r>
    <s v="B990-0158"/>
    <s v="B"/>
    <s v="Mandalay"/>
    <s v="Normal"/>
    <s v="Male"/>
    <s v="Sports and travel"/>
    <n v="64.239999999999995"/>
    <n v="7"/>
    <n v="22.48"/>
    <n v="472.16"/>
    <x v="38"/>
    <s v="17:25"/>
    <s v="Credit card"/>
    <n v="449.68"/>
    <n v="4.7618999999999998"/>
    <n v="22.48"/>
    <n v="4.3"/>
    <x v="38"/>
  </r>
  <r>
    <s v="B920-0159"/>
    <s v="B"/>
    <s v="Mandalay"/>
    <s v="Normal"/>
    <s v="Male"/>
    <s v="Fashion accessories"/>
    <n v="98.2"/>
    <n v="1"/>
    <n v="4.91"/>
    <n v="103.11"/>
    <x v="15"/>
    <s v="20:50"/>
    <s v="Credit card"/>
    <n v="98.2"/>
    <n v="4.7618999999999998"/>
    <n v="4.91"/>
    <n v="6.2"/>
    <x v="15"/>
  </r>
  <r>
    <s v="C475-0160"/>
    <s v="C"/>
    <s v="Naypyitaw"/>
    <s v="Member"/>
    <s v="Female"/>
    <s v="Electronic accessories"/>
    <n v="86.38"/>
    <n v="8"/>
    <n v="34.549999999999997"/>
    <n v="725.59"/>
    <x v="52"/>
    <s v="12:05"/>
    <s v="Cash"/>
    <n v="691.04"/>
    <n v="4.7618999999999998"/>
    <n v="34.549999999999997"/>
    <n v="8.6999999999999993"/>
    <x v="52"/>
  </r>
  <r>
    <s v="B642-0161"/>
    <s v="B"/>
    <s v="Mandalay"/>
    <s v="Normal"/>
    <s v="Female"/>
    <s v="Food and beverages"/>
    <n v="23.81"/>
    <n v="8"/>
    <n v="9.52"/>
    <n v="200"/>
    <x v="67"/>
    <s v="15:35"/>
    <s v="Cash"/>
    <n v="190.48"/>
    <n v="4.7618999999999998"/>
    <n v="9.52"/>
    <n v="7.4"/>
    <x v="67"/>
  </r>
  <r>
    <s v="B675-0162"/>
    <s v="B"/>
    <s v="Mandalay"/>
    <s v="Normal"/>
    <s v="Male"/>
    <s v="Fashion accessories"/>
    <n v="35.08"/>
    <n v="2"/>
    <n v="3.51"/>
    <n v="73.67"/>
    <x v="49"/>
    <s v="12:35"/>
    <s v="Ewallet"/>
    <n v="70.16"/>
    <n v="4.7618999999999998"/>
    <n v="3.51"/>
    <n v="6.3"/>
    <x v="49"/>
  </r>
  <r>
    <s v="A175-0163"/>
    <s v="A"/>
    <s v="Yangon"/>
    <s v="Normal"/>
    <s v="Male"/>
    <s v="Fashion accessories"/>
    <n v="50.16"/>
    <n v="10"/>
    <n v="25.08"/>
    <n v="526.67999999999995"/>
    <x v="47"/>
    <s v="17:15"/>
    <s v="Cash"/>
    <n v="501.6"/>
    <n v="4.7618999999999998"/>
    <n v="25.08"/>
    <n v="4.8"/>
    <x v="47"/>
  </r>
  <r>
    <s v="B397-0164"/>
    <s v="B"/>
    <s v="Mandalay"/>
    <s v="Member"/>
    <s v="Male"/>
    <s v="Health and beauty"/>
    <n v="82.95"/>
    <n v="6"/>
    <n v="24.89"/>
    <n v="522.59"/>
    <x v="23"/>
    <s v="15:55"/>
    <s v="Cash"/>
    <n v="497.7"/>
    <n v="4.7618999999999998"/>
    <n v="24.89"/>
    <n v="7.3"/>
    <x v="23"/>
  </r>
  <r>
    <s v="B667-0165"/>
    <s v="B"/>
    <s v="Mandalay"/>
    <s v="Member"/>
    <s v="Female"/>
    <s v="Home and lifestyle"/>
    <n v="55.79"/>
    <n v="2"/>
    <n v="5.58"/>
    <n v="117.16"/>
    <x v="30"/>
    <s v="12:15"/>
    <s v="Credit card"/>
    <n v="111.58"/>
    <n v="4.7618999999999998"/>
    <n v="5.58"/>
    <n v="4.2"/>
    <x v="30"/>
  </r>
  <r>
    <s v="C638-0166"/>
    <s v="C"/>
    <s v="Naypyitaw"/>
    <s v="Normal"/>
    <s v="Male"/>
    <s v="Food and beverages"/>
    <n v="21.68"/>
    <n v="2"/>
    <n v="2.17"/>
    <n v="45.53"/>
    <x v="36"/>
    <s v="14:30"/>
    <s v="Ewallet"/>
    <n v="43.36"/>
    <n v="4.7618999999999998"/>
    <n v="2.17"/>
    <n v="8.3000000000000007"/>
    <x v="36"/>
  </r>
  <r>
    <s v="B999-0167"/>
    <s v="B"/>
    <s v="Mandalay"/>
    <s v="Normal"/>
    <s v="Female"/>
    <s v="Electronic accessories"/>
    <n v="97.51"/>
    <n v="2"/>
    <n v="9.75"/>
    <n v="204.77"/>
    <x v="68"/>
    <s v="17:50"/>
    <s v="Ewallet"/>
    <n v="195.02"/>
    <n v="4.7618999999999998"/>
    <n v="9.75"/>
    <n v="6.1"/>
    <x v="68"/>
  </r>
  <r>
    <s v="C430-0168"/>
    <s v="C"/>
    <s v="Naypyitaw"/>
    <s v="Member"/>
    <s v="Female"/>
    <s v="Sports and travel"/>
    <n v="55.26"/>
    <n v="1"/>
    <n v="2.76"/>
    <n v="58.02"/>
    <x v="41"/>
    <s v="18:10"/>
    <s v="Credit card"/>
    <n v="55.26"/>
    <n v="4.7618999999999998"/>
    <n v="2.76"/>
    <n v="5"/>
    <x v="41"/>
  </r>
  <r>
    <s v="C740-0169"/>
    <s v="C"/>
    <s v="Naypyitaw"/>
    <s v="Member"/>
    <s v="Male"/>
    <s v="Food and beverages"/>
    <n v="90.54"/>
    <n v="2"/>
    <n v="9.0500000000000007"/>
    <n v="190.13"/>
    <x v="39"/>
    <s v="13:50"/>
    <s v="Ewallet"/>
    <n v="181.08"/>
    <n v="4.7618999999999998"/>
    <n v="9.0500000000000007"/>
    <n v="5.6"/>
    <x v="39"/>
  </r>
  <r>
    <s v="B445-0170"/>
    <s v="B"/>
    <s v="Mandalay"/>
    <s v="Member"/>
    <s v="Female"/>
    <s v="Food and beverages"/>
    <n v="94.74"/>
    <n v="3"/>
    <n v="14.21"/>
    <n v="298.43"/>
    <x v="38"/>
    <s v="20:45"/>
    <s v="Ewallet"/>
    <n v="284.22000000000003"/>
    <n v="4.7618999999999998"/>
    <n v="14.21"/>
    <n v="9.4"/>
    <x v="38"/>
  </r>
  <r>
    <s v="C754-0171"/>
    <s v="C"/>
    <s v="Naypyitaw"/>
    <s v="Member"/>
    <s v="Female"/>
    <s v="Health and beauty"/>
    <n v="14.09"/>
    <n v="10"/>
    <n v="7.05"/>
    <n v="147.94999999999999"/>
    <x v="20"/>
    <s v="20:15"/>
    <s v="Ewallet"/>
    <n v="140.9"/>
    <n v="4.7618999999999998"/>
    <n v="7.05"/>
    <n v="6.5"/>
    <x v="20"/>
  </r>
  <r>
    <s v="A805-0172"/>
    <s v="A"/>
    <s v="Yangon"/>
    <s v="Normal"/>
    <s v="Male"/>
    <s v="Fashion accessories"/>
    <n v="96.1"/>
    <n v="8"/>
    <n v="38.44"/>
    <n v="807.24"/>
    <x v="40"/>
    <s v="20:30"/>
    <s v="Credit card"/>
    <n v="768.8"/>
    <n v="4.7618999999999998"/>
    <n v="38.44"/>
    <n v="6.7"/>
    <x v="40"/>
  </r>
  <r>
    <s v="A426-0173"/>
    <s v="A"/>
    <s v="Yangon"/>
    <s v="Member"/>
    <s v="Male"/>
    <s v="Sports and travel"/>
    <n v="53.58"/>
    <n v="4"/>
    <n v="10.72"/>
    <n v="225.04"/>
    <x v="54"/>
    <s v="19:10"/>
    <s v="Credit card"/>
    <n v="214.32"/>
    <n v="4.7618999999999998"/>
    <n v="10.72"/>
    <n v="9.1999999999999993"/>
    <x v="54"/>
  </r>
  <r>
    <s v="C373-0174"/>
    <s v="C"/>
    <s v="Naypyitaw"/>
    <s v="Normal"/>
    <s v="Male"/>
    <s v="Electronic accessories"/>
    <n v="78.459999999999994"/>
    <n v="9"/>
    <n v="35.31"/>
    <n v="741.45"/>
    <x v="26"/>
    <s v="11:25"/>
    <s v="Cash"/>
    <n v="706.14"/>
    <n v="4.7618999999999998"/>
    <n v="35.31"/>
    <n v="6.8"/>
    <x v="26"/>
  </r>
  <r>
    <s v="B691-0175"/>
    <s v="B"/>
    <s v="Mandalay"/>
    <s v="Member"/>
    <s v="Female"/>
    <s v="Health and beauty"/>
    <n v="14.55"/>
    <n v="7"/>
    <n v="5.09"/>
    <n v="106.94"/>
    <x v="43"/>
    <s v="16:15"/>
    <s v="Cash"/>
    <n v="101.85"/>
    <n v="4.7618999999999998"/>
    <n v="5.09"/>
    <n v="8.9"/>
    <x v="43"/>
  </r>
  <r>
    <s v="C502-0176"/>
    <s v="C"/>
    <s v="Naypyitaw"/>
    <s v="Normal"/>
    <s v="Female"/>
    <s v="Electronic accessories"/>
    <n v="54.84"/>
    <n v="9"/>
    <n v="24.68"/>
    <n v="518.24"/>
    <x v="6"/>
    <s v="17:20"/>
    <s v="Credit card"/>
    <n v="493.56"/>
    <n v="4.7618999999999998"/>
    <n v="24.68"/>
    <n v="4.0999999999999996"/>
    <x v="6"/>
  </r>
  <r>
    <s v="C769-0177"/>
    <s v="C"/>
    <s v="Naypyitaw"/>
    <s v="Normal"/>
    <s v="Female"/>
    <s v="Electronic accessories"/>
    <n v="62.5"/>
    <n v="1"/>
    <n v="3.12"/>
    <n v="65.62"/>
    <x v="73"/>
    <s v="14:35"/>
    <s v="Ewallet"/>
    <n v="62.5"/>
    <n v="4.7618999999999998"/>
    <n v="3.12"/>
    <n v="9.3000000000000007"/>
    <x v="73"/>
  </r>
  <r>
    <s v="C512-0178"/>
    <s v="C"/>
    <s v="Naypyitaw"/>
    <s v="Normal"/>
    <s v="Male"/>
    <s v="Food and beverages"/>
    <n v="10.74"/>
    <n v="2"/>
    <n v="1.07"/>
    <n v="22.55"/>
    <x v="11"/>
    <s v="12:20"/>
    <s v="Ewallet"/>
    <n v="21.48"/>
    <n v="4.7618999999999998"/>
    <n v="1.07"/>
    <n v="6.2"/>
    <x v="11"/>
  </r>
  <r>
    <s v="B561-0179"/>
    <s v="B"/>
    <s v="Mandalay"/>
    <s v="Member"/>
    <s v="Male"/>
    <s v="Health and beauty"/>
    <n v="61.33"/>
    <n v="4"/>
    <n v="12.27"/>
    <n v="257.58999999999997"/>
    <x v="53"/>
    <s v="18:20"/>
    <s v="Cash"/>
    <n v="245.32"/>
    <n v="4.7618999999999998"/>
    <n v="12.27"/>
    <n v="6.3"/>
    <x v="53"/>
  </r>
  <r>
    <s v="C303-0180"/>
    <s v="C"/>
    <s v="Naypyitaw"/>
    <s v="Normal"/>
    <s v="Female"/>
    <s v="Electronic accessories"/>
    <n v="97.76"/>
    <n v="7"/>
    <n v="34.22"/>
    <n v="718.54"/>
    <x v="67"/>
    <s v="15:40"/>
    <s v="Credit card"/>
    <n v="684.32"/>
    <n v="4.7618999999999998"/>
    <n v="34.22"/>
    <n v="8.5"/>
    <x v="67"/>
  </r>
  <r>
    <s v="C627-0181"/>
    <s v="C"/>
    <s v="Naypyitaw"/>
    <s v="Normal"/>
    <s v="Female"/>
    <s v="Health and beauty"/>
    <n v="13.5"/>
    <n v="6"/>
    <n v="4.05"/>
    <n v="85.05"/>
    <x v="50"/>
    <s v="18:35"/>
    <s v="Cash"/>
    <n v="81"/>
    <n v="4.7618999999999998"/>
    <n v="4.05"/>
    <n v="7.6"/>
    <x v="50"/>
  </r>
  <r>
    <s v="A645-0182"/>
    <s v="A"/>
    <s v="Yangon"/>
    <s v="Normal"/>
    <s v="Male"/>
    <s v="Electronic accessories"/>
    <n v="45.37"/>
    <n v="10"/>
    <n v="22.69"/>
    <n v="476.39"/>
    <x v="24"/>
    <s v="19:25"/>
    <s v="Ewallet"/>
    <n v="453.7"/>
    <n v="4.7618999999999998"/>
    <n v="22.69"/>
    <n v="9"/>
    <x v="24"/>
  </r>
  <r>
    <s v="B744-0183"/>
    <s v="B"/>
    <s v="Mandalay"/>
    <s v="Normal"/>
    <s v="Male"/>
    <s v="Health and beauty"/>
    <n v="43.15"/>
    <n v="2"/>
    <n v="4.32"/>
    <n v="90.62"/>
    <x v="74"/>
    <s v="19:20"/>
    <s v="Ewallet"/>
    <n v="86.3"/>
    <n v="4.7618999999999998"/>
    <n v="4.32"/>
    <n v="9.1999999999999993"/>
    <x v="74"/>
  </r>
  <r>
    <s v="A274-0184"/>
    <s v="A"/>
    <s v="Yangon"/>
    <s v="Normal"/>
    <s v="Male"/>
    <s v="Fashion accessories"/>
    <n v="80.459999999999994"/>
    <n v="10"/>
    <n v="40.229999999999997"/>
    <n v="844.83"/>
    <x v="4"/>
    <s v="13:55"/>
    <s v="Cash"/>
    <n v="804.6"/>
    <n v="4.7618999999999998"/>
    <n v="40.229999999999997"/>
    <n v="7.5"/>
    <x v="4"/>
  </r>
  <r>
    <s v="C255-0185"/>
    <s v="C"/>
    <s v="Naypyitaw"/>
    <s v="Normal"/>
    <s v="Female"/>
    <s v="Fashion accessories"/>
    <n v="31.8"/>
    <n v="10"/>
    <n v="15.9"/>
    <n v="333.9"/>
    <x v="46"/>
    <s v="13:00"/>
    <s v="Credit card"/>
    <n v="318"/>
    <n v="4.7618999999999998"/>
    <n v="15.9"/>
    <n v="5.9"/>
    <x v="46"/>
  </r>
  <r>
    <s v="B778-0186"/>
    <s v="B"/>
    <s v="Mandalay"/>
    <s v="Member"/>
    <s v="Male"/>
    <s v="Food and beverages"/>
    <n v="79.75"/>
    <n v="8"/>
    <n v="31.9"/>
    <n v="669.9"/>
    <x v="17"/>
    <s v="12:40"/>
    <s v="Cash"/>
    <n v="638"/>
    <n v="4.7618999999999998"/>
    <n v="31.9"/>
    <n v="7.4"/>
    <x v="17"/>
  </r>
  <r>
    <s v="B838-0187"/>
    <s v="B"/>
    <s v="Mandalay"/>
    <s v="Normal"/>
    <s v="Male"/>
    <s v="Electronic accessories"/>
    <n v="51.37"/>
    <n v="9"/>
    <n v="23.12"/>
    <n v="485.45"/>
    <x v="54"/>
    <s v="18:25"/>
    <s v="Ewallet"/>
    <n v="462.33"/>
    <n v="4.7618999999999998"/>
    <n v="23.12"/>
    <n v="8.6"/>
    <x v="54"/>
  </r>
  <r>
    <s v="C821-0188"/>
    <s v="C"/>
    <s v="Naypyitaw"/>
    <s v="Normal"/>
    <s v="Male"/>
    <s v="Electronic accessories"/>
    <n v="96.16"/>
    <n v="5"/>
    <n v="24.04"/>
    <n v="504.84"/>
    <x v="26"/>
    <s v="14:15"/>
    <s v="Credit card"/>
    <n v="480.8"/>
    <n v="4.7618999999999998"/>
    <n v="24.04"/>
    <n v="8.6"/>
    <x v="26"/>
  </r>
  <r>
    <s v="A504-0189"/>
    <s v="A"/>
    <s v="Yangon"/>
    <s v="Normal"/>
    <s v="Male"/>
    <s v="Sports and travel"/>
    <n v="41.39"/>
    <n v="5"/>
    <n v="10.35"/>
    <n v="217.3"/>
    <x v="47"/>
    <s v="11:45"/>
    <s v="Ewallet"/>
    <n v="206.95"/>
    <n v="4.7618999999999998"/>
    <n v="10.35"/>
    <n v="7.3"/>
    <x v="47"/>
  </r>
  <r>
    <s v="B319-0190"/>
    <s v="B"/>
    <s v="Mandalay"/>
    <s v="Member"/>
    <s v="Male"/>
    <s v="Health and beauty"/>
    <n v="35.89"/>
    <n v="2"/>
    <n v="3.59"/>
    <n v="75.37"/>
    <x v="66"/>
    <s v="17:50"/>
    <s v="Credit card"/>
    <n v="71.78"/>
    <n v="4.7618999999999998"/>
    <n v="3.59"/>
    <n v="8.5"/>
    <x v="66"/>
  </r>
  <r>
    <s v="A331-0191"/>
    <s v="A"/>
    <s v="Yangon"/>
    <s v="Normal"/>
    <s v="Male"/>
    <s v="Electronic accessories"/>
    <n v="19.829999999999998"/>
    <n v="10"/>
    <n v="9.92"/>
    <n v="208.22"/>
    <x v="35"/>
    <s v="13:00"/>
    <s v="Ewallet"/>
    <n v="198.3"/>
    <n v="4.7618999999999998"/>
    <n v="9.92"/>
    <n v="9.4"/>
    <x v="35"/>
  </r>
  <r>
    <s v="C261-0192"/>
    <s v="C"/>
    <s v="Naypyitaw"/>
    <s v="Member"/>
    <s v="Female"/>
    <s v="Health and beauty"/>
    <n v="47.2"/>
    <n v="8"/>
    <n v="18.88"/>
    <n v="396.48"/>
    <x v="75"/>
    <s v="20:10"/>
    <s v="Cash"/>
    <n v="377.6"/>
    <n v="4.7618999999999998"/>
    <n v="18.88"/>
    <n v="9.8000000000000007"/>
    <x v="75"/>
  </r>
  <r>
    <s v="B191-0193"/>
    <s v="B"/>
    <s v="Mandalay"/>
    <s v="Normal"/>
    <s v="Male"/>
    <s v="Fashion accessories"/>
    <n v="27.95"/>
    <n v="5"/>
    <n v="6.99"/>
    <n v="146.74"/>
    <x v="59"/>
    <s v="14:50"/>
    <s v="Cash"/>
    <n v="139.75"/>
    <n v="4.7618999999999998"/>
    <n v="6.99"/>
    <n v="9.4"/>
    <x v="59"/>
  </r>
  <r>
    <s v="C993-0194"/>
    <s v="C"/>
    <s v="Naypyitaw"/>
    <s v="Member"/>
    <s v="Female"/>
    <s v="Electronic accessories"/>
    <n v="47.61"/>
    <n v="3"/>
    <n v="7.14"/>
    <n v="149.97"/>
    <x v="52"/>
    <s v="16:35"/>
    <s v="Cash"/>
    <n v="142.83000000000001"/>
    <n v="4.7618999999999998"/>
    <n v="7.14"/>
    <n v="9.6"/>
    <x v="52"/>
  </r>
  <r>
    <s v="B605-0195"/>
    <s v="B"/>
    <s v="Mandalay"/>
    <s v="Member"/>
    <s v="Female"/>
    <s v="Home and lifestyle"/>
    <n v="61.12"/>
    <n v="2"/>
    <n v="6.11"/>
    <n v="128.35"/>
    <x v="51"/>
    <s v="14:35"/>
    <s v="Ewallet"/>
    <n v="122.24"/>
    <n v="4.7618999999999998"/>
    <n v="6.11"/>
    <n v="7.3"/>
    <x v="51"/>
  </r>
  <r>
    <s v="A114-0196"/>
    <s v="A"/>
    <s v="Yangon"/>
    <s v="Normal"/>
    <s v="Male"/>
    <s v="Electronic accessories"/>
    <n v="82.79"/>
    <n v="6"/>
    <n v="24.84"/>
    <n v="521.58000000000004"/>
    <x v="2"/>
    <s v="17:50"/>
    <s v="Credit card"/>
    <n v="496.74"/>
    <n v="4.7618999999999998"/>
    <n v="24.84"/>
    <n v="8.3000000000000007"/>
    <x v="2"/>
  </r>
  <r>
    <s v="C627-0197"/>
    <s v="C"/>
    <s v="Naypyitaw"/>
    <s v="Normal"/>
    <s v="Male"/>
    <s v="Food and beverages"/>
    <n v="70.7"/>
    <n v="4"/>
    <n v="14.14"/>
    <n v="296.94"/>
    <x v="32"/>
    <s v="19:50"/>
    <s v="Credit card"/>
    <n v="282.8"/>
    <n v="4.7618999999999998"/>
    <n v="14.14"/>
    <n v="9"/>
    <x v="32"/>
  </r>
  <r>
    <s v="B341-0198"/>
    <s v="B"/>
    <s v="Mandalay"/>
    <s v="Member"/>
    <s v="Male"/>
    <s v="Fashion accessories"/>
    <n v="18.579999999999998"/>
    <n v="3"/>
    <n v="2.79"/>
    <n v="58.53"/>
    <x v="76"/>
    <s v="15:15"/>
    <s v="Cash"/>
    <n v="55.74"/>
    <n v="4.7618999999999998"/>
    <n v="2.79"/>
    <n v="5.6"/>
    <x v="76"/>
  </r>
  <r>
    <s v="B163-0199"/>
    <s v="B"/>
    <s v="Mandalay"/>
    <s v="Normal"/>
    <s v="Male"/>
    <s v="Home and lifestyle"/>
    <n v="62.42"/>
    <n v="10"/>
    <n v="31.21"/>
    <n v="655.41"/>
    <x v="77"/>
    <s v="14:50"/>
    <s v="Credit card"/>
    <n v="624.20000000000005"/>
    <n v="4.7618999999999998"/>
    <n v="31.21"/>
    <n v="8.1999999999999993"/>
    <x v="77"/>
  </r>
  <r>
    <s v="C326-0200"/>
    <s v="C"/>
    <s v="Naypyitaw"/>
    <s v="Member"/>
    <s v="Male"/>
    <s v="Home and lifestyle"/>
    <n v="24.37"/>
    <n v="9"/>
    <n v="10.97"/>
    <n v="230.3"/>
    <x v="12"/>
    <s v="11:50"/>
    <s v="Credit card"/>
    <n v="219.33"/>
    <n v="4.7618999999999998"/>
    <n v="10.97"/>
    <n v="6.2"/>
    <x v="12"/>
  </r>
  <r>
    <s v="A875-0201"/>
    <s v="A"/>
    <s v="Yangon"/>
    <s v="Member"/>
    <s v="Male"/>
    <s v="Electronic accessories"/>
    <n v="50.95"/>
    <n v="10"/>
    <n v="25.48"/>
    <n v="534.98"/>
    <x v="67"/>
    <s v="16:55"/>
    <s v="Ewallet"/>
    <n v="509.5"/>
    <n v="4.7618999999999998"/>
    <n v="25.48"/>
    <n v="9.5"/>
    <x v="67"/>
  </r>
  <r>
    <s v="C677-0202"/>
    <s v="C"/>
    <s v="Naypyitaw"/>
    <s v="Member"/>
    <s v="Female"/>
    <s v="Fashion accessories"/>
    <n v="77.930000000000007"/>
    <n v="2"/>
    <n v="7.79"/>
    <n v="163.65"/>
    <x v="70"/>
    <s v="17:40"/>
    <s v="Ewallet"/>
    <n v="155.86000000000001"/>
    <n v="4.7618999999999998"/>
    <n v="7.79"/>
    <n v="6.2"/>
    <x v="70"/>
  </r>
  <r>
    <s v="A834-0203"/>
    <s v="A"/>
    <s v="Yangon"/>
    <s v="Member"/>
    <s v="Female"/>
    <s v="Food and beverages"/>
    <n v="58.3"/>
    <n v="3"/>
    <n v="8.75"/>
    <n v="183.65"/>
    <x v="59"/>
    <s v="18:35"/>
    <s v="Cash"/>
    <n v="174.9"/>
    <n v="4.7618999999999998"/>
    <n v="8.75"/>
    <n v="8.1"/>
    <x v="59"/>
  </r>
  <r>
    <s v="C159-0204"/>
    <s v="C"/>
    <s v="Naypyitaw"/>
    <s v="Normal"/>
    <s v="Female"/>
    <s v="Food and beverages"/>
    <n v="50.09"/>
    <n v="1"/>
    <n v="2.5"/>
    <n v="52.59"/>
    <x v="45"/>
    <s v="12:40"/>
    <s v="Credit card"/>
    <n v="50.09"/>
    <n v="4.7618999999999998"/>
    <n v="2.5"/>
    <n v="6.7"/>
    <x v="45"/>
  </r>
  <r>
    <s v="C452-0205"/>
    <s v="C"/>
    <s v="Naypyitaw"/>
    <s v="Normal"/>
    <s v="Male"/>
    <s v="Fashion accessories"/>
    <n v="11.96"/>
    <n v="5"/>
    <n v="2.99"/>
    <n v="62.79"/>
    <x v="78"/>
    <s v="13:45"/>
    <s v="Cash"/>
    <n v="59.8"/>
    <n v="4.7618999999999998"/>
    <n v="2.99"/>
    <n v="4.3"/>
    <x v="78"/>
  </r>
  <r>
    <s v="C884-0206"/>
    <s v="C"/>
    <s v="Naypyitaw"/>
    <s v="Member"/>
    <s v="Female"/>
    <s v="Health and beauty"/>
    <n v="98.75"/>
    <n v="8"/>
    <n v="39.5"/>
    <n v="829.5"/>
    <x v="52"/>
    <s v="14:30"/>
    <s v="Cash"/>
    <n v="790"/>
    <n v="4.7618999999999998"/>
    <n v="39.5"/>
    <n v="8.6"/>
    <x v="52"/>
  </r>
  <r>
    <s v="C236-0207"/>
    <s v="C"/>
    <s v="Naypyitaw"/>
    <s v="Normal"/>
    <s v="Male"/>
    <s v="Sports and travel"/>
    <n v="50.37"/>
    <n v="7"/>
    <n v="17.63"/>
    <n v="370.22"/>
    <x v="79"/>
    <s v="11:50"/>
    <s v="Ewallet"/>
    <n v="352.59"/>
    <n v="4.7618999999999998"/>
    <n v="17.63"/>
    <n v="9.1999999999999993"/>
    <x v="79"/>
  </r>
  <r>
    <s v="C874-0208"/>
    <s v="C"/>
    <s v="Naypyitaw"/>
    <s v="Normal"/>
    <s v="Female"/>
    <s v="Electronic accessories"/>
    <n v="99.36"/>
    <n v="7"/>
    <n v="34.78"/>
    <n v="730.3"/>
    <x v="70"/>
    <s v="12:55"/>
    <s v="Cash"/>
    <n v="695.52"/>
    <n v="4.7618999999999998"/>
    <n v="34.78"/>
    <n v="9"/>
    <x v="70"/>
  </r>
  <r>
    <s v="A258-0209"/>
    <s v="A"/>
    <s v="Yangon"/>
    <s v="Normal"/>
    <s v="Male"/>
    <s v="Fashion accessories"/>
    <n v="74.72"/>
    <n v="7"/>
    <n v="26.15"/>
    <n v="549.19000000000005"/>
    <x v="71"/>
    <s v="16:15"/>
    <s v="Cash"/>
    <n v="523.04"/>
    <n v="4.7618999999999998"/>
    <n v="26.15"/>
    <n v="6.8"/>
    <x v="71"/>
  </r>
  <r>
    <s v="B708-0210"/>
    <s v="B"/>
    <s v="Mandalay"/>
    <s v="Member"/>
    <s v="Female"/>
    <s v="Health and beauty"/>
    <n v="82.85"/>
    <n v="7"/>
    <n v="29"/>
    <n v="608.95000000000005"/>
    <x v="43"/>
    <s v="10:15"/>
    <s v="Cash"/>
    <n v="579.95000000000005"/>
    <n v="4.7618999999999998"/>
    <n v="29"/>
    <n v="4.4000000000000004"/>
    <x v="43"/>
  </r>
  <r>
    <s v="A894-0211"/>
    <s v="A"/>
    <s v="Yangon"/>
    <s v="Normal"/>
    <s v="Female"/>
    <s v="Electronic accessories"/>
    <n v="76.650000000000006"/>
    <n v="7"/>
    <n v="26.83"/>
    <n v="563.38"/>
    <x v="64"/>
    <s v="13:40"/>
    <s v="Cash"/>
    <n v="536.54999999999995"/>
    <n v="4.7618999999999998"/>
    <n v="26.83"/>
    <n v="8.5"/>
    <x v="64"/>
  </r>
  <r>
    <s v="A342-0212"/>
    <s v="A"/>
    <s v="Yangon"/>
    <s v="Member"/>
    <s v="Male"/>
    <s v="Electronic accessories"/>
    <n v="83.42"/>
    <n v="10"/>
    <n v="41.71"/>
    <n v="875.91"/>
    <x v="56"/>
    <s v="19:45"/>
    <s v="Ewallet"/>
    <n v="834.2"/>
    <n v="4.7618999999999998"/>
    <n v="41.71"/>
    <n v="8.9"/>
    <x v="56"/>
  </r>
  <r>
    <s v="B537-0213"/>
    <s v="B"/>
    <s v="Mandalay"/>
    <s v="Member"/>
    <s v="Female"/>
    <s v="Sports and travel"/>
    <n v="37.049999999999997"/>
    <n v="1"/>
    <n v="1.85"/>
    <n v="38.9"/>
    <x v="26"/>
    <s v="19:55"/>
    <s v="Cash"/>
    <n v="37.049999999999997"/>
    <n v="4.7618999999999998"/>
    <n v="1.85"/>
    <n v="7.8"/>
    <x v="26"/>
  </r>
  <r>
    <s v="C407-0214"/>
    <s v="C"/>
    <s v="Naypyitaw"/>
    <s v="Normal"/>
    <s v="Female"/>
    <s v="Home and lifestyle"/>
    <n v="94.74"/>
    <n v="7"/>
    <n v="33.159999999999997"/>
    <n v="696.34"/>
    <x v="70"/>
    <s v="15:55"/>
    <s v="Credit card"/>
    <n v="663.18"/>
    <n v="4.7618999999999998"/>
    <n v="33.159999999999997"/>
    <n v="6.4"/>
    <x v="70"/>
  </r>
  <r>
    <s v="B526-0215"/>
    <s v="B"/>
    <s v="Mandalay"/>
    <s v="Member"/>
    <s v="Male"/>
    <s v="Electronic accessories"/>
    <n v="86.44"/>
    <n v="5"/>
    <n v="21.61"/>
    <n v="453.81"/>
    <x v="8"/>
    <s v="17:00"/>
    <s v="Ewallet"/>
    <n v="432.2"/>
    <n v="4.7618999999999998"/>
    <n v="21.61"/>
    <n v="6.5"/>
    <x v="8"/>
  </r>
  <r>
    <s v="C841-0216"/>
    <s v="C"/>
    <s v="Naypyitaw"/>
    <s v="Member"/>
    <s v="Male"/>
    <s v="Electronic accessories"/>
    <n v="32.950000000000003"/>
    <n v="6"/>
    <n v="9.8800000000000008"/>
    <n v="207.58"/>
    <x v="80"/>
    <s v="11:35"/>
    <s v="Credit card"/>
    <n v="197.7"/>
    <n v="4.7618999999999998"/>
    <n v="9.8800000000000008"/>
    <n v="4.5999999999999996"/>
    <x v="80"/>
  </r>
  <r>
    <s v="A672-0217"/>
    <s v="A"/>
    <s v="Yangon"/>
    <s v="Member"/>
    <s v="Male"/>
    <s v="Sports and travel"/>
    <n v="70.63"/>
    <n v="10"/>
    <n v="35.31"/>
    <n v="741.61"/>
    <x v="55"/>
    <s v="11:15"/>
    <s v="Ewallet"/>
    <n v="706.3"/>
    <n v="4.7618999999999998"/>
    <n v="35.31"/>
    <n v="8.3000000000000007"/>
    <x v="55"/>
  </r>
  <r>
    <s v="A872-0218"/>
    <s v="A"/>
    <s v="Yangon"/>
    <s v="Normal"/>
    <s v="Female"/>
    <s v="Home and lifestyle"/>
    <n v="37.29"/>
    <n v="1"/>
    <n v="1.86"/>
    <n v="39.15"/>
    <x v="69"/>
    <s v="13:55"/>
    <s v="Cash"/>
    <n v="37.29"/>
    <n v="4.7618999999999998"/>
    <n v="1.86"/>
    <n v="8.5"/>
    <x v="69"/>
  </r>
  <r>
    <s v="B467-0219"/>
    <s v="B"/>
    <s v="Mandalay"/>
    <s v="Member"/>
    <s v="Female"/>
    <s v="Sports and travel"/>
    <n v="92.36"/>
    <n v="9"/>
    <n v="41.56"/>
    <n v="872.8"/>
    <x v="59"/>
    <s v="14:30"/>
    <s v="Credit card"/>
    <n v="831.24"/>
    <n v="4.7618999999999998"/>
    <n v="41.56"/>
    <n v="7.2"/>
    <x v="59"/>
  </r>
  <r>
    <s v="B523-0220"/>
    <s v="B"/>
    <s v="Mandalay"/>
    <s v="Normal"/>
    <s v="Male"/>
    <s v="Food and beverages"/>
    <n v="89.45"/>
    <n v="8"/>
    <n v="35.78"/>
    <n v="751.38"/>
    <x v="75"/>
    <s v="17:25"/>
    <s v="Cash"/>
    <n v="715.6"/>
    <n v="4.7618999999999998"/>
    <n v="35.78"/>
    <n v="6.2"/>
    <x v="75"/>
  </r>
  <r>
    <s v="A335-0221"/>
    <s v="A"/>
    <s v="Yangon"/>
    <s v="Member"/>
    <s v="Female"/>
    <s v="Health and beauty"/>
    <n v="33.47"/>
    <n v="10"/>
    <n v="16.73"/>
    <n v="351.43"/>
    <x v="21"/>
    <s v="16:20"/>
    <s v="Cash"/>
    <n v="334.7"/>
    <n v="4.7618999999999998"/>
    <n v="16.73"/>
    <n v="5.2"/>
    <x v="21"/>
  </r>
  <r>
    <s v="B571-0222"/>
    <s v="B"/>
    <s v="Mandalay"/>
    <s v="Member"/>
    <s v="Male"/>
    <s v="Food and beverages"/>
    <n v="68.91"/>
    <n v="6"/>
    <n v="20.67"/>
    <n v="434.13"/>
    <x v="39"/>
    <s v="17:55"/>
    <s v="Ewallet"/>
    <n v="413.46"/>
    <n v="4.7618999999999998"/>
    <n v="20.67"/>
    <n v="8.4"/>
    <x v="39"/>
  </r>
  <r>
    <s v="A959-0223"/>
    <s v="A"/>
    <s v="Yangon"/>
    <s v="Normal"/>
    <s v="Female"/>
    <s v="Electronic accessories"/>
    <n v="74.83"/>
    <n v="8"/>
    <n v="29.93"/>
    <n v="628.57000000000005"/>
    <x v="18"/>
    <s v="18:50"/>
    <s v="Cash"/>
    <n v="598.64"/>
    <n v="4.7618999999999998"/>
    <n v="29.93"/>
    <n v="7.1"/>
    <x v="18"/>
  </r>
  <r>
    <s v="A482-0224"/>
    <s v="A"/>
    <s v="Yangon"/>
    <s v="Member"/>
    <s v="Female"/>
    <s v="Sports and travel"/>
    <n v="22.37"/>
    <n v="4"/>
    <n v="4.47"/>
    <n v="93.95"/>
    <x v="36"/>
    <s v="12:00"/>
    <s v="Cash"/>
    <n v="89.48"/>
    <n v="4.7618999999999998"/>
    <n v="4.47"/>
    <n v="7"/>
    <x v="36"/>
  </r>
  <r>
    <s v="A648-0225"/>
    <s v="A"/>
    <s v="Yangon"/>
    <s v="Normal"/>
    <s v="Male"/>
    <s v="Health and beauty"/>
    <n v="10.6"/>
    <n v="9"/>
    <n v="4.7699999999999996"/>
    <n v="100.17"/>
    <x v="29"/>
    <s v="10:00"/>
    <s v="Ewallet"/>
    <n v="95.4"/>
    <n v="4.7618999999999998"/>
    <n v="4.7699999999999996"/>
    <n v="8.3000000000000007"/>
    <x v="29"/>
  </r>
  <r>
    <s v="B358-0226"/>
    <s v="B"/>
    <s v="Mandalay"/>
    <s v="Member"/>
    <s v="Male"/>
    <s v="Electronic accessories"/>
    <n v="19.63"/>
    <n v="2"/>
    <n v="1.96"/>
    <n v="41.22"/>
    <x v="70"/>
    <s v="12:15"/>
    <s v="Cash"/>
    <n v="39.26"/>
    <n v="4.7618999999999998"/>
    <n v="1.96"/>
    <n v="7.7"/>
    <x v="70"/>
  </r>
  <r>
    <s v="B800-0227"/>
    <s v="B"/>
    <s v="Mandalay"/>
    <s v="Normal"/>
    <s v="Male"/>
    <s v="Health and beauty"/>
    <n v="43.57"/>
    <n v="7"/>
    <n v="15.25"/>
    <n v="320.24"/>
    <x v="45"/>
    <s v="19:15"/>
    <s v="Ewallet"/>
    <n v="304.99"/>
    <n v="4.7618999999999998"/>
    <n v="15.25"/>
    <n v="5.4"/>
    <x v="45"/>
  </r>
  <r>
    <s v="A184-0228"/>
    <s v="A"/>
    <s v="Yangon"/>
    <s v="Member"/>
    <s v="Female"/>
    <s v="Sports and travel"/>
    <n v="44.13"/>
    <n v="9"/>
    <n v="19.86"/>
    <n v="417.03"/>
    <x v="50"/>
    <s v="10:50"/>
    <s v="Cash"/>
    <n v="397.17"/>
    <n v="4.7618999999999998"/>
    <n v="19.86"/>
    <n v="8.1999999999999993"/>
    <x v="50"/>
  </r>
  <r>
    <s v="B808-0229"/>
    <s v="B"/>
    <s v="Mandalay"/>
    <s v="Normal"/>
    <s v="Male"/>
    <s v="Food and beverages"/>
    <n v="97.96"/>
    <n v="2"/>
    <n v="9.8000000000000007"/>
    <n v="205.72"/>
    <x v="70"/>
    <s v="10:15"/>
    <s v="Cash"/>
    <n v="195.92"/>
    <n v="4.7618999999999998"/>
    <n v="9.8000000000000007"/>
    <n v="9.4"/>
    <x v="70"/>
  </r>
  <r>
    <s v="C970-0230"/>
    <s v="C"/>
    <s v="Naypyitaw"/>
    <s v="Normal"/>
    <s v="Male"/>
    <s v="Health and beauty"/>
    <n v="93.17"/>
    <n v="5"/>
    <n v="23.29"/>
    <n v="489.14"/>
    <x v="63"/>
    <s v="19:50"/>
    <s v="Cash"/>
    <n v="465.85"/>
    <n v="4.7618999999999998"/>
    <n v="23.29"/>
    <n v="5.0999999999999996"/>
    <x v="63"/>
  </r>
  <r>
    <s v="B954-0231"/>
    <s v="B"/>
    <s v="Mandalay"/>
    <s v="Member"/>
    <s v="Female"/>
    <s v="Food and beverages"/>
    <n v="22.98"/>
    <n v="7"/>
    <n v="8.0399999999999991"/>
    <n v="168.9"/>
    <x v="15"/>
    <s v="14:10"/>
    <s v="Ewallet"/>
    <n v="160.86000000000001"/>
    <n v="4.7618999999999998"/>
    <n v="8.0399999999999991"/>
    <n v="5.4"/>
    <x v="15"/>
  </r>
  <r>
    <s v="B958-0232"/>
    <s v="B"/>
    <s v="Mandalay"/>
    <s v="Normal"/>
    <s v="Male"/>
    <s v="Fashion accessories"/>
    <n v="22.6"/>
    <n v="2"/>
    <n v="2.2599999999999998"/>
    <n v="47.46"/>
    <x v="1"/>
    <s v="15:00"/>
    <s v="Cash"/>
    <n v="45.2"/>
    <n v="4.7618999999999998"/>
    <n v="2.2599999999999998"/>
    <n v="6.6"/>
    <x v="1"/>
  </r>
  <r>
    <s v="A484-0233"/>
    <s v="A"/>
    <s v="Yangon"/>
    <s v="Normal"/>
    <s v="Male"/>
    <s v="Home and lifestyle"/>
    <n v="12.67"/>
    <n v="5"/>
    <n v="3.17"/>
    <n v="66.52"/>
    <x v="68"/>
    <s v="17:15"/>
    <s v="Credit card"/>
    <n v="63.35"/>
    <n v="4.7618999999999998"/>
    <n v="3.17"/>
    <n v="7.3"/>
    <x v="68"/>
  </r>
  <r>
    <s v="B828-0234"/>
    <s v="B"/>
    <s v="Mandalay"/>
    <s v="Member"/>
    <s v="Male"/>
    <s v="Health and beauty"/>
    <n v="79.5"/>
    <n v="5"/>
    <n v="19.88"/>
    <n v="417.38"/>
    <x v="40"/>
    <s v="11:05"/>
    <s v="Credit card"/>
    <n v="397.5"/>
    <n v="4.7618999999999998"/>
    <n v="19.88"/>
    <n v="4.9000000000000004"/>
    <x v="40"/>
  </r>
  <r>
    <s v="C204-0235"/>
    <s v="C"/>
    <s v="Naypyitaw"/>
    <s v="Member"/>
    <s v="Male"/>
    <s v="Home and lifestyle"/>
    <n v="42.46"/>
    <n v="2"/>
    <n v="4.25"/>
    <n v="89.17"/>
    <x v="78"/>
    <s v="14:35"/>
    <s v="Credit card"/>
    <n v="84.92"/>
    <n v="4.7618999999999998"/>
    <n v="4.25"/>
    <n v="8.6"/>
    <x v="78"/>
  </r>
  <r>
    <s v="A667-0236"/>
    <s v="A"/>
    <s v="Yangon"/>
    <s v="Member"/>
    <s v="Female"/>
    <s v="Sports and travel"/>
    <n v="50.4"/>
    <n v="9"/>
    <n v="22.68"/>
    <n v="476.28"/>
    <x v="9"/>
    <s v="16:05"/>
    <s v="Cash"/>
    <n v="453.6"/>
    <n v="4.7618999999999998"/>
    <n v="22.68"/>
    <n v="4.5"/>
    <x v="9"/>
  </r>
  <r>
    <s v="A801-0237"/>
    <s v="A"/>
    <s v="Yangon"/>
    <s v="Normal"/>
    <s v="Male"/>
    <s v="Health and beauty"/>
    <n v="36.270000000000003"/>
    <n v="7"/>
    <n v="12.69"/>
    <n v="266.58"/>
    <x v="22"/>
    <s v="18:15"/>
    <s v="Ewallet"/>
    <n v="253.89"/>
    <n v="4.7618999999999998"/>
    <n v="12.69"/>
    <n v="7.1"/>
    <x v="22"/>
  </r>
  <r>
    <s v="B406-0238"/>
    <s v="B"/>
    <s v="Mandalay"/>
    <s v="Member"/>
    <s v="Female"/>
    <s v="Home and lifestyle"/>
    <n v="37.1"/>
    <n v="8"/>
    <n v="14.84"/>
    <n v="311.64"/>
    <x v="8"/>
    <s v="11:10"/>
    <s v="Credit card"/>
    <n v="296.8"/>
    <n v="4.7618999999999998"/>
    <n v="14.84"/>
    <n v="5.7"/>
    <x v="8"/>
  </r>
  <r>
    <s v="B411-0239"/>
    <s v="B"/>
    <s v="Mandalay"/>
    <s v="Member"/>
    <s v="Male"/>
    <s v="Home and lifestyle"/>
    <n v="94.98"/>
    <n v="8"/>
    <n v="37.99"/>
    <n v="797.83"/>
    <x v="10"/>
    <s v="19:15"/>
    <s v="Credit card"/>
    <n v="759.84"/>
    <n v="4.7618999999999998"/>
    <n v="37.99"/>
    <n v="4.5999999999999996"/>
    <x v="10"/>
  </r>
  <r>
    <s v="A239-0240"/>
    <s v="A"/>
    <s v="Yangon"/>
    <s v="Normal"/>
    <s v="Male"/>
    <s v="Food and beverages"/>
    <n v="44.19"/>
    <n v="6"/>
    <n v="13.26"/>
    <n v="278.39999999999998"/>
    <x v="64"/>
    <s v="15:30"/>
    <s v="Ewallet"/>
    <n v="265.14"/>
    <n v="4.7618999999999998"/>
    <n v="13.26"/>
    <n v="9.8000000000000007"/>
    <x v="64"/>
  </r>
  <r>
    <s v="B689-0241"/>
    <s v="B"/>
    <s v="Mandalay"/>
    <s v="Normal"/>
    <s v="Female"/>
    <s v="Sports and travel"/>
    <n v="38.28"/>
    <n v="7"/>
    <n v="13.4"/>
    <n v="281.36"/>
    <x v="56"/>
    <s v="14:55"/>
    <s v="Ewallet"/>
    <n v="267.95999999999998"/>
    <n v="4.7618999999999998"/>
    <n v="13.4"/>
    <n v="7.8"/>
    <x v="56"/>
  </r>
  <r>
    <s v="A658-0242"/>
    <s v="A"/>
    <s v="Yangon"/>
    <s v="Normal"/>
    <s v="Male"/>
    <s v="Home and lifestyle"/>
    <n v="83.48"/>
    <n v="7"/>
    <n v="29.22"/>
    <n v="613.58000000000004"/>
    <x v="53"/>
    <s v="11:45"/>
    <s v="Cash"/>
    <n v="584.36"/>
    <n v="4.7618999999999998"/>
    <n v="29.22"/>
    <n v="7.6"/>
    <x v="53"/>
  </r>
  <r>
    <s v="A748-0243"/>
    <s v="A"/>
    <s v="Yangon"/>
    <s v="Member"/>
    <s v="Male"/>
    <s v="Fashion accessories"/>
    <n v="28.87"/>
    <n v="5"/>
    <n v="7.22"/>
    <n v="151.57"/>
    <x v="81"/>
    <s v="11:30"/>
    <s v="Ewallet"/>
    <n v="144.35"/>
    <n v="4.7618999999999998"/>
    <n v="7.22"/>
    <n v="7"/>
    <x v="81"/>
  </r>
  <r>
    <s v="B510-0244"/>
    <s v="B"/>
    <s v="Mandalay"/>
    <s v="Member"/>
    <s v="Male"/>
    <s v="Fashion accessories"/>
    <n v="23.87"/>
    <n v="7"/>
    <n v="8.35"/>
    <n v="175.44"/>
    <x v="79"/>
    <s v="11:35"/>
    <s v="Ewallet"/>
    <n v="167.09"/>
    <n v="4.7618999999999998"/>
    <n v="8.35"/>
    <n v="6.9"/>
    <x v="79"/>
  </r>
  <r>
    <s v="C773-0245"/>
    <s v="C"/>
    <s v="Naypyitaw"/>
    <s v="Normal"/>
    <s v="Female"/>
    <s v="Home and lifestyle"/>
    <n v="73.150000000000006"/>
    <n v="9"/>
    <n v="32.92"/>
    <n v="691.27"/>
    <x v="10"/>
    <s v="20:05"/>
    <s v="Cash"/>
    <n v="658.35"/>
    <n v="4.7618999999999998"/>
    <n v="32.92"/>
    <n v="8.6"/>
    <x v="10"/>
  </r>
  <r>
    <s v="C439-0246"/>
    <s v="C"/>
    <s v="Naypyitaw"/>
    <s v="Normal"/>
    <s v="Female"/>
    <s v="Fashion accessories"/>
    <n v="65.14"/>
    <n v="10"/>
    <n v="32.57"/>
    <n v="683.97"/>
    <x v="80"/>
    <s v="20:50"/>
    <s v="Credit card"/>
    <n v="651.4"/>
    <n v="4.7618999999999998"/>
    <n v="32.57"/>
    <n v="9.8000000000000007"/>
    <x v="80"/>
  </r>
  <r>
    <s v="B556-0247"/>
    <s v="B"/>
    <s v="Mandalay"/>
    <s v="Member"/>
    <s v="Female"/>
    <s v="Health and beauty"/>
    <n v="33.29"/>
    <n v="9"/>
    <n v="14.98"/>
    <n v="314.58999999999997"/>
    <x v="72"/>
    <s v="18:45"/>
    <s v="Ewallet"/>
    <n v="299.61"/>
    <n v="4.7618999999999998"/>
    <n v="14.98"/>
    <n v="7.5"/>
    <x v="72"/>
  </r>
  <r>
    <s v="B525-0248"/>
    <s v="B"/>
    <s v="Mandalay"/>
    <s v="Normal"/>
    <s v="Male"/>
    <s v="Fashion accessories"/>
    <n v="62.97"/>
    <n v="9"/>
    <n v="28.34"/>
    <n v="595.07000000000005"/>
    <x v="82"/>
    <s v="15:00"/>
    <s v="Credit card"/>
    <n v="566.73"/>
    <n v="4.7618999999999998"/>
    <n v="28.34"/>
    <n v="4.5999999999999996"/>
    <x v="82"/>
  </r>
  <r>
    <s v="A548-0249"/>
    <s v="A"/>
    <s v="Yangon"/>
    <s v="Member"/>
    <s v="Female"/>
    <s v="Home and lifestyle"/>
    <n v="38.07"/>
    <n v="8"/>
    <n v="15.23"/>
    <n v="319.79000000000002"/>
    <x v="83"/>
    <s v="18:35"/>
    <s v="Credit card"/>
    <n v="304.56"/>
    <n v="4.7618999999999998"/>
    <n v="15.23"/>
    <n v="6.9"/>
    <x v="83"/>
  </r>
  <r>
    <s v="C268-0250"/>
    <s v="C"/>
    <s v="Naypyitaw"/>
    <s v="Normal"/>
    <s v="Male"/>
    <s v="Health and beauty"/>
    <n v="37.020000000000003"/>
    <n v="2"/>
    <n v="3.7"/>
    <n v="77.739999999999995"/>
    <x v="37"/>
    <s v="15:50"/>
    <s v="Cash"/>
    <n v="74.040000000000006"/>
    <n v="4.7618999999999998"/>
    <n v="3.7"/>
    <n v="8.1"/>
    <x v="37"/>
  </r>
  <r>
    <s v="C290-0251"/>
    <s v="C"/>
    <s v="Naypyitaw"/>
    <s v="Member"/>
    <s v="Female"/>
    <s v="Food and beverages"/>
    <n v="24.41"/>
    <n v="9"/>
    <n v="10.98"/>
    <n v="230.67"/>
    <x v="84"/>
    <s v="17:15"/>
    <s v="Credit card"/>
    <n v="219.69"/>
    <n v="4.7618999999999998"/>
    <n v="10.98"/>
    <n v="7.8"/>
    <x v="84"/>
  </r>
  <r>
    <s v="C319-0252"/>
    <s v="C"/>
    <s v="Naypyitaw"/>
    <s v="Normal"/>
    <s v="Male"/>
    <s v="Health and beauty"/>
    <n v="76.36"/>
    <n v="4"/>
    <n v="15.27"/>
    <n v="320.70999999999998"/>
    <x v="68"/>
    <s v="19:30"/>
    <s v="Credit card"/>
    <n v="305.44"/>
    <n v="4.7618999999999998"/>
    <n v="15.27"/>
    <n v="4"/>
    <x v="68"/>
  </r>
  <r>
    <s v="A368-0253"/>
    <s v="A"/>
    <s v="Yangon"/>
    <s v="Normal"/>
    <s v="Female"/>
    <s v="Food and beverages"/>
    <n v="19.16"/>
    <n v="9"/>
    <n v="8.6199999999999992"/>
    <n v="181.06"/>
    <x v="18"/>
    <s v="15:25"/>
    <s v="Cash"/>
    <n v="172.44"/>
    <n v="4.7618999999999998"/>
    <n v="8.6199999999999992"/>
    <n v="6.7"/>
    <x v="18"/>
  </r>
  <r>
    <s v="C732-0254"/>
    <s v="C"/>
    <s v="Naypyitaw"/>
    <s v="Normal"/>
    <s v="Male"/>
    <s v="Food and beverages"/>
    <n v="44.98"/>
    <n v="7"/>
    <n v="15.74"/>
    <n v="330.6"/>
    <x v="14"/>
    <s v="11:25"/>
    <s v="Credit card"/>
    <n v="314.86"/>
    <n v="4.7618999999999998"/>
    <n v="15.74"/>
    <n v="9.1"/>
    <x v="14"/>
  </r>
  <r>
    <s v="A244-0255"/>
    <s v="A"/>
    <s v="Yangon"/>
    <s v="Normal"/>
    <s v="Female"/>
    <s v="Fashion accessories"/>
    <n v="22.06"/>
    <n v="2"/>
    <n v="2.21"/>
    <n v="46.33"/>
    <x v="35"/>
    <s v="14:05"/>
    <s v="Cash"/>
    <n v="44.12"/>
    <n v="4.7618999999999998"/>
    <n v="2.21"/>
    <n v="6.2"/>
    <x v="35"/>
  </r>
  <r>
    <s v="C760-0256"/>
    <s v="C"/>
    <s v="Naypyitaw"/>
    <s v="Normal"/>
    <s v="Male"/>
    <s v="Food and beverages"/>
    <n v="22.41"/>
    <n v="7"/>
    <n v="7.84"/>
    <n v="164.71"/>
    <x v="84"/>
    <s v="12:35"/>
    <s v="Ewallet"/>
    <n v="156.87"/>
    <n v="4.7618999999999998"/>
    <n v="7.84"/>
    <n v="7.2"/>
    <x v="84"/>
  </r>
  <r>
    <s v="A596-0257"/>
    <s v="A"/>
    <s v="Yangon"/>
    <s v="Member"/>
    <s v="Male"/>
    <s v="Home and lifestyle"/>
    <n v="22.63"/>
    <n v="6"/>
    <n v="6.79"/>
    <n v="142.57"/>
    <x v="68"/>
    <s v="19:00"/>
    <s v="Credit card"/>
    <n v="135.78"/>
    <n v="4.7618999999999998"/>
    <n v="6.79"/>
    <n v="9.6999999999999993"/>
    <x v="68"/>
  </r>
  <r>
    <s v="A554-0258"/>
    <s v="A"/>
    <s v="Yangon"/>
    <s v="Member"/>
    <s v="Male"/>
    <s v="Food and beverages"/>
    <n v="55.49"/>
    <n v="8"/>
    <n v="22.2"/>
    <n v="466.12"/>
    <x v="29"/>
    <s v="20:35"/>
    <s v="Credit card"/>
    <n v="443.92"/>
    <n v="4.7618999999999998"/>
    <n v="22.2"/>
    <n v="8.3000000000000007"/>
    <x v="29"/>
  </r>
  <r>
    <s v="B272-0259"/>
    <s v="B"/>
    <s v="Mandalay"/>
    <s v="Member"/>
    <s v="Female"/>
    <s v="Food and beverages"/>
    <n v="12.78"/>
    <n v="4"/>
    <n v="2.56"/>
    <n v="53.68"/>
    <x v="60"/>
    <s v="10:20"/>
    <s v="Cash"/>
    <n v="51.12"/>
    <n v="4.7618999999999998"/>
    <n v="2.56"/>
    <n v="7.2"/>
    <x v="60"/>
  </r>
  <r>
    <s v="B323-0260"/>
    <s v="B"/>
    <s v="Mandalay"/>
    <s v="Normal"/>
    <s v="Female"/>
    <s v="Food and beverages"/>
    <n v="20.28"/>
    <n v="9"/>
    <n v="9.1300000000000008"/>
    <n v="191.65"/>
    <x v="53"/>
    <s v="18:00"/>
    <s v="Ewallet"/>
    <n v="182.52"/>
    <n v="4.7618999999999998"/>
    <n v="9.1300000000000008"/>
    <n v="6.6"/>
    <x v="53"/>
  </r>
  <r>
    <s v="B220-0261"/>
    <s v="B"/>
    <s v="Mandalay"/>
    <s v="Member"/>
    <s v="Female"/>
    <s v="Home and lifestyle"/>
    <n v="88.73"/>
    <n v="1"/>
    <n v="4.4400000000000004"/>
    <n v="93.17"/>
    <x v="68"/>
    <s v="14:25"/>
    <s v="Cash"/>
    <n v="88.73"/>
    <n v="4.7618999999999998"/>
    <n v="4.4400000000000004"/>
    <n v="6.6"/>
    <x v="68"/>
  </r>
  <r>
    <s v="A924-0262"/>
    <s v="A"/>
    <s v="Yangon"/>
    <s v="Member"/>
    <s v="Male"/>
    <s v="Fashion accessories"/>
    <n v="64.92"/>
    <n v="7"/>
    <n v="22.72"/>
    <n v="477.16"/>
    <x v="38"/>
    <s v="19:10"/>
    <s v="Cash"/>
    <n v="454.44"/>
    <n v="4.7618999999999998"/>
    <n v="22.72"/>
    <n v="8.9"/>
    <x v="38"/>
  </r>
  <r>
    <s v="A626-0263"/>
    <s v="A"/>
    <s v="Yangon"/>
    <s v="Normal"/>
    <s v="Male"/>
    <s v="Food and beverages"/>
    <n v="58.49"/>
    <n v="6"/>
    <n v="17.55"/>
    <n v="368.49"/>
    <x v="60"/>
    <s v="14:45"/>
    <s v="Credit card"/>
    <n v="350.94"/>
    <n v="4.7618999999999998"/>
    <n v="17.55"/>
    <n v="9.6999999999999993"/>
    <x v="60"/>
  </r>
  <r>
    <s v="C828-0264"/>
    <s v="C"/>
    <s v="Naypyitaw"/>
    <s v="Member"/>
    <s v="Female"/>
    <s v="Sports and travel"/>
    <n v="92.69"/>
    <n v="5"/>
    <n v="23.17"/>
    <n v="486.62"/>
    <x v="62"/>
    <s v="12:55"/>
    <s v="Cash"/>
    <n v="463.45"/>
    <n v="4.7618999999999998"/>
    <n v="23.17"/>
    <n v="5.5"/>
    <x v="62"/>
  </r>
  <r>
    <s v="B913-0265"/>
    <s v="B"/>
    <s v="Mandalay"/>
    <s v="Member"/>
    <s v="Male"/>
    <s v="Sports and travel"/>
    <n v="22.8"/>
    <n v="5"/>
    <n v="5.7"/>
    <n v="119.7"/>
    <x v="58"/>
    <s v="16:30"/>
    <s v="Credit card"/>
    <n v="114"/>
    <n v="4.7618999999999998"/>
    <n v="5.7"/>
    <n v="4.5"/>
    <x v="58"/>
  </r>
  <r>
    <s v="A892-0266"/>
    <s v="A"/>
    <s v="Yangon"/>
    <s v="Normal"/>
    <s v="Male"/>
    <s v="Fashion accessories"/>
    <n v="94.27"/>
    <n v="6"/>
    <n v="28.28"/>
    <n v="593.9"/>
    <x v="45"/>
    <s v="17:25"/>
    <s v="Ewallet"/>
    <n v="565.62"/>
    <n v="4.7618999999999998"/>
    <n v="28.28"/>
    <n v="4"/>
    <x v="45"/>
  </r>
  <r>
    <s v="C944-0267"/>
    <s v="C"/>
    <s v="Naypyitaw"/>
    <s v="Member"/>
    <s v="Male"/>
    <s v="Fashion accessories"/>
    <n v="69.77"/>
    <n v="6"/>
    <n v="20.93"/>
    <n v="439.55"/>
    <x v="36"/>
    <s v="18:30"/>
    <s v="Cash"/>
    <n v="418.62"/>
    <n v="4.7618999999999998"/>
    <n v="20.93"/>
    <n v="9.8000000000000007"/>
    <x v="36"/>
  </r>
  <r>
    <s v="A907-0268"/>
    <s v="A"/>
    <s v="Yangon"/>
    <s v="Normal"/>
    <s v="Male"/>
    <s v="Home and lifestyle"/>
    <n v="84.55"/>
    <n v="6"/>
    <n v="25.37"/>
    <n v="532.66999999999996"/>
    <x v="25"/>
    <s v="19:10"/>
    <s v="Ewallet"/>
    <n v="507.3"/>
    <n v="4.7618999999999998"/>
    <n v="25.37"/>
    <n v="9.1"/>
    <x v="25"/>
  </r>
  <r>
    <s v="B538-0269"/>
    <s v="B"/>
    <s v="Mandalay"/>
    <s v="Member"/>
    <s v="Female"/>
    <s v="Health and beauty"/>
    <n v="66.36"/>
    <n v="8"/>
    <n v="26.54"/>
    <n v="557.41999999999996"/>
    <x v="37"/>
    <s v="11:10"/>
    <s v="Credit card"/>
    <n v="530.88"/>
    <n v="4.7618999999999998"/>
    <n v="26.54"/>
    <n v="6.7"/>
    <x v="37"/>
  </r>
  <r>
    <s v="A780-0270"/>
    <s v="A"/>
    <s v="Yangon"/>
    <s v="Member"/>
    <s v="Male"/>
    <s v="Electronic accessories"/>
    <n v="88.7"/>
    <n v="5"/>
    <n v="22.18"/>
    <n v="465.68"/>
    <x v="19"/>
    <s v="20:25"/>
    <s v="Credit card"/>
    <n v="443.5"/>
    <n v="4.7618999999999998"/>
    <n v="22.18"/>
    <n v="4.5"/>
    <x v="19"/>
  </r>
  <r>
    <s v="C318-0271"/>
    <s v="C"/>
    <s v="Naypyitaw"/>
    <s v="Member"/>
    <s v="Female"/>
    <s v="Sports and travel"/>
    <n v="66.3"/>
    <n v="4"/>
    <n v="13.26"/>
    <n v="278.45999999999998"/>
    <x v="84"/>
    <s v="20:05"/>
    <s v="Ewallet"/>
    <n v="265.2"/>
    <n v="4.7618999999999998"/>
    <n v="13.26"/>
    <n v="4.5999999999999996"/>
    <x v="84"/>
  </r>
  <r>
    <s v="B980-0272"/>
    <s v="B"/>
    <s v="Mandalay"/>
    <s v="Member"/>
    <s v="Female"/>
    <s v="Food and beverages"/>
    <n v="30.36"/>
    <n v="8"/>
    <n v="12.14"/>
    <n v="255.02"/>
    <x v="77"/>
    <s v="10:55"/>
    <s v="Credit card"/>
    <n v="242.88"/>
    <n v="4.7618999999999998"/>
    <n v="12.14"/>
    <n v="8.9"/>
    <x v="77"/>
  </r>
  <r>
    <s v="B240-0273"/>
    <s v="B"/>
    <s v="Mandalay"/>
    <s v="Member"/>
    <s v="Male"/>
    <s v="Health and beauty"/>
    <n v="30.61"/>
    <n v="2"/>
    <n v="3.06"/>
    <n v="64.28"/>
    <x v="42"/>
    <s v="11:25"/>
    <s v="Credit card"/>
    <n v="61.22"/>
    <n v="4.7618999999999998"/>
    <n v="3.06"/>
    <n v="9.3000000000000007"/>
    <x v="42"/>
  </r>
  <r>
    <s v="B318-0274"/>
    <s v="B"/>
    <s v="Mandalay"/>
    <s v="Member"/>
    <s v="Female"/>
    <s v="Health and beauty"/>
    <n v="57.75"/>
    <n v="1"/>
    <n v="2.89"/>
    <n v="60.64"/>
    <x v="43"/>
    <s v="20:10"/>
    <s v="Credit card"/>
    <n v="57.75"/>
    <n v="4.7618999999999998"/>
    <n v="2.89"/>
    <n v="6.1"/>
    <x v="43"/>
  </r>
  <r>
    <s v="C493-0275"/>
    <s v="C"/>
    <s v="Naypyitaw"/>
    <s v="Member"/>
    <s v="Male"/>
    <s v="Food and beverages"/>
    <n v="71.790000000000006"/>
    <n v="4"/>
    <n v="14.36"/>
    <n v="301.52"/>
    <x v="19"/>
    <s v="11:10"/>
    <s v="Cash"/>
    <n v="287.16000000000003"/>
    <n v="4.7618999999999998"/>
    <n v="14.36"/>
    <n v="7.5"/>
    <x v="19"/>
  </r>
  <r>
    <s v="B391-0276"/>
    <s v="B"/>
    <s v="Mandalay"/>
    <s v="Normal"/>
    <s v="Male"/>
    <s v="Electronic accessories"/>
    <n v="32.299999999999997"/>
    <n v="2"/>
    <n v="3.23"/>
    <n v="67.83"/>
    <x v="40"/>
    <s v="18:45"/>
    <s v="Ewallet"/>
    <n v="64.599999999999994"/>
    <n v="4.7618999999999998"/>
    <n v="3.23"/>
    <n v="8.3000000000000007"/>
    <x v="40"/>
  </r>
  <r>
    <s v="C912-0277"/>
    <s v="C"/>
    <s v="Naypyitaw"/>
    <s v="Member"/>
    <s v="Male"/>
    <s v="Electronic accessories"/>
    <n v="56.6"/>
    <n v="9"/>
    <n v="25.47"/>
    <n v="534.87"/>
    <x v="16"/>
    <s v="16:20"/>
    <s v="Ewallet"/>
    <n v="509.4"/>
    <n v="4.7618999999999998"/>
    <n v="25.47"/>
    <n v="4.3"/>
    <x v="16"/>
  </r>
  <r>
    <s v="A235-0278"/>
    <s v="A"/>
    <s v="Yangon"/>
    <s v="Normal"/>
    <s v="Male"/>
    <s v="Health and beauty"/>
    <n v="31.7"/>
    <n v="10"/>
    <n v="15.85"/>
    <n v="332.85"/>
    <x v="15"/>
    <s v="18:00"/>
    <s v="Credit card"/>
    <n v="317"/>
    <n v="4.7618999999999998"/>
    <n v="15.85"/>
    <n v="9.6"/>
    <x v="15"/>
  </r>
  <r>
    <s v="B320-0279"/>
    <s v="B"/>
    <s v="Mandalay"/>
    <s v="Normal"/>
    <s v="Male"/>
    <s v="Food and beverages"/>
    <n v="71.459999999999994"/>
    <n v="8"/>
    <n v="28.58"/>
    <n v="600.26"/>
    <x v="15"/>
    <s v="10:45"/>
    <s v="Cash"/>
    <n v="571.67999999999995"/>
    <n v="4.7618999999999998"/>
    <n v="28.58"/>
    <n v="4.0999999999999996"/>
    <x v="15"/>
  </r>
  <r>
    <s v="A649-0280"/>
    <s v="A"/>
    <s v="Yangon"/>
    <s v="Member"/>
    <s v="Male"/>
    <s v="Food and beverages"/>
    <n v="35.78"/>
    <n v="9"/>
    <n v="16.100000000000001"/>
    <n v="338.12"/>
    <x v="74"/>
    <s v="16:55"/>
    <s v="Credit card"/>
    <n v="322.02"/>
    <n v="4.7618999999999998"/>
    <n v="16.100000000000001"/>
    <n v="4.5"/>
    <x v="74"/>
  </r>
  <r>
    <s v="C749-0281"/>
    <s v="C"/>
    <s v="Naypyitaw"/>
    <s v="Member"/>
    <s v="Male"/>
    <s v="Health and beauty"/>
    <n v="37.89"/>
    <n v="9"/>
    <n v="17.05"/>
    <n v="358.06"/>
    <x v="83"/>
    <s v="12:40"/>
    <s v="Credit card"/>
    <n v="341.01"/>
    <n v="4.7618999999999998"/>
    <n v="17.05"/>
    <n v="6.3"/>
    <x v="83"/>
  </r>
  <r>
    <s v="C726-0282"/>
    <s v="C"/>
    <s v="Naypyitaw"/>
    <s v="Member"/>
    <s v="Male"/>
    <s v="Fashion accessories"/>
    <n v="49.37"/>
    <n v="4"/>
    <n v="9.8699999999999992"/>
    <n v="207.35"/>
    <x v="17"/>
    <s v="13:05"/>
    <s v="Credit card"/>
    <n v="197.48"/>
    <n v="4.7618999999999998"/>
    <n v="9.8699999999999992"/>
    <n v="4.7"/>
    <x v="17"/>
  </r>
  <r>
    <s v="C267-0283"/>
    <s v="C"/>
    <s v="Naypyitaw"/>
    <s v="Member"/>
    <s v="Male"/>
    <s v="Fashion accessories"/>
    <n v="76.75"/>
    <n v="3"/>
    <n v="11.51"/>
    <n v="241.76"/>
    <x v="41"/>
    <s v="10:55"/>
    <s v="Cash"/>
    <n v="230.25"/>
    <n v="4.7618999999999998"/>
    <n v="11.51"/>
    <n v="8.1999999999999993"/>
    <x v="41"/>
  </r>
  <r>
    <s v="B165-0284"/>
    <s v="B"/>
    <s v="Mandalay"/>
    <s v="Normal"/>
    <s v="Male"/>
    <s v="Electronic accessories"/>
    <n v="43.47"/>
    <n v="5"/>
    <n v="10.87"/>
    <n v="228.22"/>
    <x v="41"/>
    <s v="10:25"/>
    <s v="Credit card"/>
    <n v="217.35"/>
    <n v="4.7618999999999998"/>
    <n v="10.87"/>
    <n v="5.6"/>
    <x v="41"/>
  </r>
  <r>
    <s v="B891-0285"/>
    <s v="B"/>
    <s v="Mandalay"/>
    <s v="Member"/>
    <s v="Male"/>
    <s v="Sports and travel"/>
    <n v="55.97"/>
    <n v="1"/>
    <n v="2.8"/>
    <n v="58.77"/>
    <x v="85"/>
    <s v="19:10"/>
    <s v="Credit card"/>
    <n v="55.97"/>
    <n v="4.7618999999999998"/>
    <n v="2.8"/>
    <n v="4.9000000000000004"/>
    <x v="85"/>
  </r>
  <r>
    <s v="A253-0286"/>
    <s v="A"/>
    <s v="Yangon"/>
    <s v="Member"/>
    <s v="Female"/>
    <s v="Fashion accessories"/>
    <n v="55.79"/>
    <n v="1"/>
    <n v="2.79"/>
    <n v="58.58"/>
    <x v="77"/>
    <s v="13:00"/>
    <s v="Credit card"/>
    <n v="55.79"/>
    <n v="4.7618999999999998"/>
    <n v="2.79"/>
    <n v="6.2"/>
    <x v="77"/>
  </r>
  <r>
    <s v="A614-0287"/>
    <s v="A"/>
    <s v="Yangon"/>
    <s v="Member"/>
    <s v="Male"/>
    <s v="Electronic accessories"/>
    <n v="38.96"/>
    <n v="7"/>
    <n v="13.64"/>
    <n v="286.36"/>
    <x v="56"/>
    <s v="14:05"/>
    <s v="Ewallet"/>
    <n v="272.72000000000003"/>
    <n v="4.7618999999999998"/>
    <n v="13.64"/>
    <n v="6.2"/>
    <x v="56"/>
  </r>
  <r>
    <s v="C418-0288"/>
    <s v="C"/>
    <s v="Naypyitaw"/>
    <s v="Member"/>
    <s v="Female"/>
    <s v="Electronic accessories"/>
    <n v="82.39"/>
    <n v="1"/>
    <n v="4.12"/>
    <n v="86.51"/>
    <x v="7"/>
    <s v="11:35"/>
    <s v="Credit card"/>
    <n v="82.39"/>
    <n v="4.7618999999999998"/>
    <n v="4.12"/>
    <n v="8.6"/>
    <x v="7"/>
  </r>
  <r>
    <s v="B477-0289"/>
    <s v="B"/>
    <s v="Mandalay"/>
    <s v="Member"/>
    <s v="Male"/>
    <s v="Health and beauty"/>
    <n v="43.2"/>
    <n v="5"/>
    <n v="10.8"/>
    <n v="226.8"/>
    <x v="86"/>
    <s v="14:55"/>
    <s v="Ewallet"/>
    <n v="216"/>
    <n v="4.7618999999999998"/>
    <n v="10.8"/>
    <n v="5.5"/>
    <x v="86"/>
  </r>
  <r>
    <s v="C454-0290"/>
    <s v="C"/>
    <s v="Naypyitaw"/>
    <s v="Normal"/>
    <s v="Female"/>
    <s v="Fashion accessories"/>
    <n v="91.04"/>
    <n v="4"/>
    <n v="18.21"/>
    <n v="382.37"/>
    <x v="82"/>
    <s v="10:30"/>
    <s v="Cash"/>
    <n v="364.16"/>
    <n v="4.7618999999999998"/>
    <n v="18.21"/>
    <n v="5.4"/>
    <x v="82"/>
  </r>
  <r>
    <s v="C529-0291"/>
    <s v="C"/>
    <s v="Naypyitaw"/>
    <s v="Member"/>
    <s v="Male"/>
    <s v="Health and beauty"/>
    <n v="78.3"/>
    <n v="7"/>
    <n v="27.41"/>
    <n v="575.51"/>
    <x v="12"/>
    <s v="11:15"/>
    <s v="Ewallet"/>
    <n v="548.1"/>
    <n v="4.7618999999999998"/>
    <n v="27.41"/>
    <n v="9.9"/>
    <x v="12"/>
  </r>
  <r>
    <s v="B569-0292"/>
    <s v="B"/>
    <s v="Mandalay"/>
    <s v="Member"/>
    <s v="Female"/>
    <s v="Fashion accessories"/>
    <n v="35.18"/>
    <n v="1"/>
    <n v="1.76"/>
    <n v="36.94"/>
    <x v="57"/>
    <s v="18:30"/>
    <s v="Ewallet"/>
    <n v="35.18"/>
    <n v="4.7618999999999998"/>
    <n v="1.76"/>
    <n v="9.4"/>
    <x v="57"/>
  </r>
  <r>
    <s v="C233-0293"/>
    <s v="C"/>
    <s v="Naypyitaw"/>
    <s v="Member"/>
    <s v="Female"/>
    <s v="Food and beverages"/>
    <n v="22.02"/>
    <n v="7"/>
    <n v="7.71"/>
    <n v="161.85"/>
    <x v="15"/>
    <s v="19:45"/>
    <s v="Cash"/>
    <n v="154.13999999999999"/>
    <n v="4.7618999999999998"/>
    <n v="7.71"/>
    <n v="6.6"/>
    <x v="15"/>
  </r>
  <r>
    <s v="A307-0294"/>
    <s v="A"/>
    <s v="Yangon"/>
    <s v="Normal"/>
    <s v="Male"/>
    <s v="Home and lifestyle"/>
    <n v="93.34"/>
    <n v="7"/>
    <n v="32.67"/>
    <n v="686.05"/>
    <x v="59"/>
    <s v="15:35"/>
    <s v="Credit card"/>
    <n v="653.38"/>
    <n v="4.7618999999999998"/>
    <n v="32.67"/>
    <n v="5.4"/>
    <x v="59"/>
  </r>
  <r>
    <s v="A888-0295"/>
    <s v="A"/>
    <s v="Yangon"/>
    <s v="Member"/>
    <s v="Female"/>
    <s v="Health and beauty"/>
    <n v="24.79"/>
    <n v="8"/>
    <n v="9.92"/>
    <n v="208.24"/>
    <x v="56"/>
    <s v="16:05"/>
    <s v="Ewallet"/>
    <n v="198.32"/>
    <n v="4.7618999999999998"/>
    <n v="9.92"/>
    <n v="6.1"/>
    <x v="56"/>
  </r>
  <r>
    <s v="A813-0296"/>
    <s v="A"/>
    <s v="Yangon"/>
    <s v="Normal"/>
    <s v="Male"/>
    <s v="Sports and travel"/>
    <n v="33.85"/>
    <n v="2"/>
    <n v="3.39"/>
    <n v="71.09"/>
    <x v="19"/>
    <s v="12:50"/>
    <s v="Credit card"/>
    <n v="67.7"/>
    <n v="4.7618999999999998"/>
    <n v="3.39"/>
    <n v="9"/>
    <x v="19"/>
  </r>
  <r>
    <s v="C366-0297"/>
    <s v="C"/>
    <s v="Naypyitaw"/>
    <s v="Member"/>
    <s v="Female"/>
    <s v="Home and lifestyle"/>
    <n v="23.35"/>
    <n v="4"/>
    <n v="4.67"/>
    <n v="98.07"/>
    <x v="28"/>
    <s v="16:40"/>
    <s v="Cash"/>
    <n v="93.4"/>
    <n v="4.7618999999999998"/>
    <n v="4.67"/>
    <n v="8.1"/>
    <x v="28"/>
  </r>
  <r>
    <s v="A243-0298"/>
    <s v="A"/>
    <s v="Yangon"/>
    <s v="Member"/>
    <s v="Male"/>
    <s v="Sports and travel"/>
    <n v="60.04"/>
    <n v="9"/>
    <n v="27.02"/>
    <n v="567.38"/>
    <x v="40"/>
    <s v="11:35"/>
    <s v="Cash"/>
    <n v="540.36"/>
    <n v="4.7618999999999998"/>
    <n v="27.02"/>
    <n v="8.8000000000000007"/>
    <x v="40"/>
  </r>
  <r>
    <s v="A700-0299"/>
    <s v="A"/>
    <s v="Yangon"/>
    <s v="Member"/>
    <s v="Female"/>
    <s v="Electronic accessories"/>
    <n v="21.76"/>
    <n v="7"/>
    <n v="7.62"/>
    <n v="159.94"/>
    <x v="67"/>
    <s v="20:50"/>
    <s v="Ewallet"/>
    <n v="152.32"/>
    <n v="4.7618999999999998"/>
    <n v="7.62"/>
    <n v="4.5"/>
    <x v="67"/>
  </r>
  <r>
    <s v="B572-0300"/>
    <s v="B"/>
    <s v="Mandalay"/>
    <s v="Member"/>
    <s v="Female"/>
    <s v="Health and beauty"/>
    <n v="27.8"/>
    <n v="8"/>
    <n v="11.12"/>
    <n v="233.52"/>
    <x v="27"/>
    <s v="11:25"/>
    <s v="Cash"/>
    <n v="222.4"/>
    <n v="4.7618999999999998"/>
    <n v="11.12"/>
    <n v="4.3"/>
    <x v="27"/>
  </r>
  <r>
    <s v="A291-0301"/>
    <s v="A"/>
    <s v="Yangon"/>
    <s v="Member"/>
    <s v="Male"/>
    <s v="Fashion accessories"/>
    <n v="45.55"/>
    <n v="1"/>
    <n v="2.2799999999999998"/>
    <n v="47.83"/>
    <x v="79"/>
    <s v="20:30"/>
    <s v="Cash"/>
    <n v="45.55"/>
    <n v="4.7618999999999998"/>
    <n v="2.2799999999999998"/>
    <n v="6.1"/>
    <x v="79"/>
  </r>
  <r>
    <s v="B663-0302"/>
    <s v="B"/>
    <s v="Mandalay"/>
    <s v="Normal"/>
    <s v="Male"/>
    <s v="Electronic accessories"/>
    <n v="13.12"/>
    <n v="10"/>
    <n v="6.56"/>
    <n v="137.76"/>
    <x v="43"/>
    <s v="13:50"/>
    <s v="Credit card"/>
    <n v="131.19999999999999"/>
    <n v="4.7618999999999998"/>
    <n v="6.56"/>
    <n v="7"/>
    <x v="43"/>
  </r>
  <r>
    <s v="B921-0303"/>
    <s v="B"/>
    <s v="Mandalay"/>
    <s v="Member"/>
    <s v="Female"/>
    <s v="Home and lifestyle"/>
    <n v="44.47"/>
    <n v="7"/>
    <n v="15.56"/>
    <n v="326.85000000000002"/>
    <x v="30"/>
    <s v="20:40"/>
    <s v="Cash"/>
    <n v="311.29000000000002"/>
    <n v="4.7618999999999998"/>
    <n v="15.56"/>
    <n v="7.8"/>
    <x v="30"/>
  </r>
  <r>
    <s v="C376-0304"/>
    <s v="C"/>
    <s v="Naypyitaw"/>
    <s v="Member"/>
    <s v="Male"/>
    <s v="Fashion accessories"/>
    <n v="42.32"/>
    <n v="9"/>
    <n v="19.04"/>
    <n v="399.92"/>
    <x v="44"/>
    <s v="15:45"/>
    <s v="Ewallet"/>
    <n v="380.88"/>
    <n v="4.7618999999999998"/>
    <n v="19.04"/>
    <n v="5.9"/>
    <x v="44"/>
  </r>
  <r>
    <s v="A338-0305"/>
    <s v="A"/>
    <s v="Yangon"/>
    <s v="Member"/>
    <s v="Male"/>
    <s v="Food and beverages"/>
    <n v="29.71"/>
    <n v="5"/>
    <n v="7.43"/>
    <n v="155.97999999999999"/>
    <x v="17"/>
    <s v="17:40"/>
    <s v="Credit card"/>
    <n v="148.55000000000001"/>
    <n v="4.7618999999999998"/>
    <n v="7.43"/>
    <n v="8.6"/>
    <x v="17"/>
  </r>
  <r>
    <s v="A959-0306"/>
    <s v="A"/>
    <s v="Yangon"/>
    <s v="Member"/>
    <s v="Female"/>
    <s v="Fashion accessories"/>
    <n v="31.7"/>
    <n v="9"/>
    <n v="14.27"/>
    <n v="299.57"/>
    <x v="17"/>
    <s v="13:45"/>
    <s v="Credit card"/>
    <n v="285.3"/>
    <n v="4.7618999999999998"/>
    <n v="14.27"/>
    <n v="6.1"/>
    <x v="17"/>
  </r>
  <r>
    <s v="A681-0307"/>
    <s v="A"/>
    <s v="Yangon"/>
    <s v="Member"/>
    <s v="Female"/>
    <s v="Food and beverages"/>
    <n v="38.619999999999997"/>
    <n v="6"/>
    <n v="11.59"/>
    <n v="243.31"/>
    <x v="14"/>
    <s v="10:55"/>
    <s v="Ewallet"/>
    <n v="231.72"/>
    <n v="4.7618999999999998"/>
    <n v="11.59"/>
    <n v="6.1"/>
    <x v="14"/>
  </r>
  <r>
    <s v="C324-0308"/>
    <s v="C"/>
    <s v="Naypyitaw"/>
    <s v="Member"/>
    <s v="Female"/>
    <s v="Sports and travel"/>
    <n v="58.79"/>
    <n v="3"/>
    <n v="8.82"/>
    <n v="185.19"/>
    <x v="44"/>
    <s v="10:05"/>
    <s v="Cash"/>
    <n v="176.37"/>
    <n v="4.7618999999999998"/>
    <n v="8.82"/>
    <n v="5.4"/>
    <x v="44"/>
  </r>
  <r>
    <s v="A964-0309"/>
    <s v="A"/>
    <s v="Yangon"/>
    <s v="Normal"/>
    <s v="Female"/>
    <s v="Home and lifestyle"/>
    <n v="92.61"/>
    <n v="4"/>
    <n v="18.52"/>
    <n v="388.96"/>
    <x v="27"/>
    <s v="15:55"/>
    <s v="Cash"/>
    <n v="370.44"/>
    <n v="4.7618999999999998"/>
    <n v="18.52"/>
    <n v="9.5"/>
    <x v="27"/>
  </r>
  <r>
    <s v="B778-0310"/>
    <s v="B"/>
    <s v="Mandalay"/>
    <s v="Member"/>
    <s v="Female"/>
    <s v="Electronic accessories"/>
    <n v="62.79"/>
    <n v="3"/>
    <n v="9.42"/>
    <n v="197.79"/>
    <x v="46"/>
    <s v="18:25"/>
    <s v="Cash"/>
    <n v="188.37"/>
    <n v="4.7618999999999998"/>
    <n v="9.42"/>
    <n v="6.2"/>
    <x v="46"/>
  </r>
  <r>
    <s v="B824-0311"/>
    <s v="B"/>
    <s v="Mandalay"/>
    <s v="Member"/>
    <s v="Male"/>
    <s v="Home and lifestyle"/>
    <n v="39.03"/>
    <n v="3"/>
    <n v="5.85"/>
    <n v="122.94"/>
    <x v="11"/>
    <s v="20:35"/>
    <s v="Ewallet"/>
    <n v="117.09"/>
    <n v="4.7618999999999998"/>
    <n v="5.85"/>
    <n v="5.9"/>
    <x v="11"/>
  </r>
  <r>
    <s v="C281-0312"/>
    <s v="C"/>
    <s v="Naypyitaw"/>
    <s v="Normal"/>
    <s v="Female"/>
    <s v="Fashion accessories"/>
    <n v="63.01"/>
    <n v="3"/>
    <n v="9.4499999999999993"/>
    <n v="198.48"/>
    <x v="79"/>
    <s v="14:55"/>
    <s v="Ewallet"/>
    <n v="189.03"/>
    <n v="4.7618999999999998"/>
    <n v="9.4499999999999993"/>
    <n v="5.8"/>
    <x v="79"/>
  </r>
  <r>
    <s v="C608-0313"/>
    <s v="C"/>
    <s v="Naypyitaw"/>
    <s v="Member"/>
    <s v="Male"/>
    <s v="Food and beverages"/>
    <n v="12.91"/>
    <n v="10"/>
    <n v="6.46"/>
    <n v="135.56"/>
    <x v="56"/>
    <s v="19:15"/>
    <s v="Ewallet"/>
    <n v="129.1"/>
    <n v="4.7618999999999998"/>
    <n v="6.46"/>
    <n v="7.4"/>
    <x v="56"/>
  </r>
  <r>
    <s v="A846-0314"/>
    <s v="A"/>
    <s v="Yangon"/>
    <s v="Normal"/>
    <s v="Female"/>
    <s v="Electronic accessories"/>
    <n v="41.21"/>
    <n v="6"/>
    <n v="12.36"/>
    <n v="259.62"/>
    <x v="38"/>
    <s v="20:05"/>
    <s v="Ewallet"/>
    <n v="247.26"/>
    <n v="4.7618999999999998"/>
    <n v="12.36"/>
    <n v="8"/>
    <x v="38"/>
  </r>
  <r>
    <s v="B495-0315"/>
    <s v="B"/>
    <s v="Mandalay"/>
    <s v="Normal"/>
    <s v="Female"/>
    <s v="Home and lifestyle"/>
    <n v="28.87"/>
    <n v="2"/>
    <n v="2.89"/>
    <n v="60.63"/>
    <x v="66"/>
    <s v="14:05"/>
    <s v="Ewallet"/>
    <n v="57.74"/>
    <n v="4.7618999999999998"/>
    <n v="2.89"/>
    <n v="4"/>
    <x v="66"/>
  </r>
  <r>
    <s v="B907-0316"/>
    <s v="B"/>
    <s v="Mandalay"/>
    <s v="Normal"/>
    <s v="Female"/>
    <s v="Sports and travel"/>
    <n v="54.38"/>
    <n v="7"/>
    <n v="19.03"/>
    <n v="399.69"/>
    <x v="66"/>
    <s v="18:30"/>
    <s v="Cash"/>
    <n v="380.66"/>
    <n v="4.7618999999999998"/>
    <n v="19.03"/>
    <n v="9"/>
    <x v="66"/>
  </r>
  <r>
    <s v="C175-0317"/>
    <s v="C"/>
    <s v="Naypyitaw"/>
    <s v="Member"/>
    <s v="Female"/>
    <s v="Sports and travel"/>
    <n v="16.63"/>
    <n v="1"/>
    <n v="0.83"/>
    <n v="17.46"/>
    <x v="60"/>
    <s v="10:25"/>
    <s v="Credit card"/>
    <n v="16.63"/>
    <n v="4.7618999999999998"/>
    <n v="0.83"/>
    <n v="9.6999999999999993"/>
    <x v="60"/>
  </r>
  <r>
    <s v="B821-0318"/>
    <s v="B"/>
    <s v="Mandalay"/>
    <s v="Member"/>
    <s v="Male"/>
    <s v="Electronic accessories"/>
    <n v="75.88"/>
    <n v="9"/>
    <n v="34.15"/>
    <n v="717.07"/>
    <x v="19"/>
    <s v="15:45"/>
    <s v="Ewallet"/>
    <n v="682.92"/>
    <n v="4.7618999999999998"/>
    <n v="34.15"/>
    <n v="9.4"/>
    <x v="19"/>
  </r>
  <r>
    <s v="A519-0319"/>
    <s v="A"/>
    <s v="Yangon"/>
    <s v="Normal"/>
    <s v="Female"/>
    <s v="Food and beverages"/>
    <n v="90.08"/>
    <n v="3"/>
    <n v="13.51"/>
    <n v="283.75"/>
    <x v="73"/>
    <s v="11:25"/>
    <s v="Cash"/>
    <n v="270.24"/>
    <n v="4.7618999999999998"/>
    <n v="13.51"/>
    <n v="9.8000000000000007"/>
    <x v="73"/>
  </r>
  <r>
    <s v="C469-0320"/>
    <s v="C"/>
    <s v="Naypyitaw"/>
    <s v="Normal"/>
    <s v="Male"/>
    <s v="Home and lifestyle"/>
    <n v="31.38"/>
    <n v="1"/>
    <n v="1.57"/>
    <n v="32.950000000000003"/>
    <x v="87"/>
    <s v="19:40"/>
    <s v="Credit card"/>
    <n v="31.38"/>
    <n v="4.7618999999999998"/>
    <n v="1.57"/>
    <n v="4.9000000000000004"/>
    <x v="87"/>
  </r>
  <r>
    <s v="A753-0321"/>
    <s v="A"/>
    <s v="Yangon"/>
    <s v="Normal"/>
    <s v="Female"/>
    <s v="Home and lifestyle"/>
    <n v="84.15"/>
    <n v="10"/>
    <n v="42.08"/>
    <n v="883.58"/>
    <x v="76"/>
    <s v="13:05"/>
    <s v="Cash"/>
    <n v="841.5"/>
    <n v="4.7618999999999998"/>
    <n v="42.08"/>
    <n v="5.2"/>
    <x v="76"/>
  </r>
  <r>
    <s v="B657-0322"/>
    <s v="B"/>
    <s v="Mandalay"/>
    <s v="Member"/>
    <s v="Male"/>
    <s v="Health and beauty"/>
    <n v="37.75"/>
    <n v="7"/>
    <n v="13.21"/>
    <n v="277.45999999999998"/>
    <x v="50"/>
    <s v="17:50"/>
    <s v="Credit card"/>
    <n v="264.25"/>
    <n v="4.7618999999999998"/>
    <n v="13.21"/>
    <n v="4.5"/>
    <x v="50"/>
  </r>
  <r>
    <s v="B957-0323"/>
    <s v="B"/>
    <s v="Mandalay"/>
    <s v="Member"/>
    <s v="Male"/>
    <s v="Sports and travel"/>
    <n v="43.25"/>
    <n v="8"/>
    <n v="17.3"/>
    <n v="363.3"/>
    <x v="55"/>
    <s v="14:35"/>
    <s v="Credit card"/>
    <n v="346"/>
    <n v="4.7618999999999998"/>
    <n v="17.3"/>
    <n v="5.6"/>
    <x v="55"/>
  </r>
  <r>
    <s v="B703-0324"/>
    <s v="B"/>
    <s v="Mandalay"/>
    <s v="Member"/>
    <s v="Female"/>
    <s v="Fashion accessories"/>
    <n v="70.069999999999993"/>
    <n v="2"/>
    <n v="7.01"/>
    <n v="147.15"/>
    <x v="23"/>
    <s v="15:40"/>
    <s v="Credit card"/>
    <n v="140.13999999999999"/>
    <n v="4.7618999999999998"/>
    <n v="7.01"/>
    <n v="9.8000000000000007"/>
    <x v="23"/>
  </r>
  <r>
    <s v="A180-0325"/>
    <s v="A"/>
    <s v="Yangon"/>
    <s v="Member"/>
    <s v="Male"/>
    <s v="Food and beverages"/>
    <n v="47.68"/>
    <n v="9"/>
    <n v="21.46"/>
    <n v="450.58"/>
    <x v="65"/>
    <s v="17:45"/>
    <s v="Cash"/>
    <n v="429.12"/>
    <n v="4.7618999999999998"/>
    <n v="21.46"/>
    <n v="6.9"/>
    <x v="65"/>
  </r>
  <r>
    <s v="B533-0326"/>
    <s v="B"/>
    <s v="Mandalay"/>
    <s v="Member"/>
    <s v="Female"/>
    <s v="Health and beauty"/>
    <n v="95.43"/>
    <n v="8"/>
    <n v="38.17"/>
    <n v="801.61"/>
    <x v="32"/>
    <s v="12:15"/>
    <s v="Cash"/>
    <n v="763.44"/>
    <n v="4.7618999999999998"/>
    <n v="38.17"/>
    <n v="4.8"/>
    <x v="32"/>
  </r>
  <r>
    <s v="A669-0327"/>
    <s v="A"/>
    <s v="Yangon"/>
    <s v="Normal"/>
    <s v="Female"/>
    <s v="Fashion accessories"/>
    <n v="23.31"/>
    <n v="10"/>
    <n v="11.66"/>
    <n v="244.76"/>
    <x v="20"/>
    <s v="15:55"/>
    <s v="Cash"/>
    <n v="233.1"/>
    <n v="4.7618999999999998"/>
    <n v="11.66"/>
    <n v="4.5"/>
    <x v="20"/>
  </r>
  <r>
    <s v="B253-0328"/>
    <s v="B"/>
    <s v="Mandalay"/>
    <s v="Normal"/>
    <s v="Male"/>
    <s v="Food and beverages"/>
    <n v="51.23"/>
    <n v="1"/>
    <n v="2.56"/>
    <n v="53.79"/>
    <x v="34"/>
    <s v="19:40"/>
    <s v="Credit card"/>
    <n v="51.23"/>
    <n v="4.7618999999999998"/>
    <n v="2.56"/>
    <n v="4.7"/>
    <x v="34"/>
  </r>
  <r>
    <s v="A597-0329"/>
    <s v="A"/>
    <s v="Yangon"/>
    <s v="Member"/>
    <s v="Female"/>
    <s v="Food and beverages"/>
    <n v="80.16"/>
    <n v="5"/>
    <n v="20.04"/>
    <n v="420.84"/>
    <x v="71"/>
    <s v="15:30"/>
    <s v="Credit card"/>
    <n v="400.8"/>
    <n v="4.7618999999999998"/>
    <n v="20.04"/>
    <n v="6.3"/>
    <x v="71"/>
  </r>
  <r>
    <s v="C505-0330"/>
    <s v="C"/>
    <s v="Naypyitaw"/>
    <s v="Normal"/>
    <s v="Female"/>
    <s v="Electronic accessories"/>
    <n v="34.79"/>
    <n v="3"/>
    <n v="5.22"/>
    <n v="109.59"/>
    <x v="34"/>
    <s v="19:50"/>
    <s v="Ewallet"/>
    <n v="104.37"/>
    <n v="4.7618999999999998"/>
    <n v="5.22"/>
    <n v="6.4"/>
    <x v="34"/>
  </r>
  <r>
    <s v="B963-0331"/>
    <s v="B"/>
    <s v="Mandalay"/>
    <s v="Member"/>
    <s v="Female"/>
    <s v="Fashion accessories"/>
    <n v="52.77"/>
    <n v="5"/>
    <n v="13.19"/>
    <n v="277.04000000000002"/>
    <x v="67"/>
    <s v="10:25"/>
    <s v="Credit card"/>
    <n v="263.85000000000002"/>
    <n v="4.7618999999999998"/>
    <n v="13.19"/>
    <n v="5.9"/>
    <x v="67"/>
  </r>
  <r>
    <s v="B191-0332"/>
    <s v="B"/>
    <s v="Mandalay"/>
    <s v="Member"/>
    <s v="Female"/>
    <s v="Electronic accessories"/>
    <n v="37.04"/>
    <n v="8"/>
    <n v="14.82"/>
    <n v="311.14"/>
    <x v="59"/>
    <s v="14:55"/>
    <s v="Credit card"/>
    <n v="296.32"/>
    <n v="4.7618999999999998"/>
    <n v="14.82"/>
    <n v="7.6"/>
    <x v="59"/>
  </r>
  <r>
    <s v="A826-0333"/>
    <s v="A"/>
    <s v="Yangon"/>
    <s v="Normal"/>
    <s v="Female"/>
    <s v="Sports and travel"/>
    <n v="76.69"/>
    <n v="9"/>
    <n v="34.51"/>
    <n v="724.72"/>
    <x v="67"/>
    <s v="10:40"/>
    <s v="Cash"/>
    <n v="690.21"/>
    <n v="4.7618999999999998"/>
    <n v="34.51"/>
    <n v="4.4000000000000004"/>
    <x v="67"/>
  </r>
  <r>
    <s v="C567-0334"/>
    <s v="C"/>
    <s v="Naypyitaw"/>
    <s v="Normal"/>
    <s v="Female"/>
    <s v="Food and beverages"/>
    <n v="89.14"/>
    <n v="1"/>
    <n v="4.46"/>
    <n v="93.6"/>
    <x v="32"/>
    <s v="13:15"/>
    <s v="Cash"/>
    <n v="89.14"/>
    <n v="4.7618999999999998"/>
    <n v="4.46"/>
    <n v="5.5"/>
    <x v="32"/>
  </r>
  <r>
    <s v="A347-0335"/>
    <s v="A"/>
    <s v="Yangon"/>
    <s v="Normal"/>
    <s v="Female"/>
    <s v="Home and lifestyle"/>
    <n v="43.15"/>
    <n v="8"/>
    <n v="17.260000000000002"/>
    <n v="362.46"/>
    <x v="1"/>
    <s v="16:50"/>
    <s v="Cash"/>
    <n v="345.2"/>
    <n v="4.7618999999999998"/>
    <n v="17.260000000000002"/>
    <n v="8.1"/>
    <x v="1"/>
  </r>
  <r>
    <s v="B364-0336"/>
    <s v="B"/>
    <s v="Mandalay"/>
    <s v="Normal"/>
    <s v="Male"/>
    <s v="Electronic accessories"/>
    <n v="96.45"/>
    <n v="8"/>
    <n v="38.58"/>
    <n v="810.18"/>
    <x v="14"/>
    <s v="18:25"/>
    <s v="Credit card"/>
    <n v="771.6"/>
    <n v="4.7618999999999998"/>
    <n v="38.58"/>
    <n v="5"/>
    <x v="14"/>
  </r>
  <r>
    <s v="C311-0337"/>
    <s v="C"/>
    <s v="Naypyitaw"/>
    <s v="Member"/>
    <s v="Male"/>
    <s v="Health and beauty"/>
    <n v="44.79"/>
    <n v="3"/>
    <n v="6.72"/>
    <n v="141.09"/>
    <x v="4"/>
    <s v="13:15"/>
    <s v="Ewallet"/>
    <n v="134.37"/>
    <n v="4.7618999999999998"/>
    <n v="6.72"/>
    <n v="5.4"/>
    <x v="4"/>
  </r>
  <r>
    <s v="B722-0338"/>
    <s v="B"/>
    <s v="Mandalay"/>
    <s v="Normal"/>
    <s v="Female"/>
    <s v="Fashion accessories"/>
    <n v="10.8"/>
    <n v="3"/>
    <n v="1.62"/>
    <n v="34.020000000000003"/>
    <x v="80"/>
    <s v="12:45"/>
    <s v="Cash"/>
    <n v="32.4"/>
    <n v="4.7618999999999998"/>
    <n v="1.62"/>
    <n v="5.3"/>
    <x v="80"/>
  </r>
  <r>
    <s v="B944-0339"/>
    <s v="B"/>
    <s v="Mandalay"/>
    <s v="Normal"/>
    <s v="Male"/>
    <s v="Sports and travel"/>
    <n v="86.64"/>
    <n v="8"/>
    <n v="34.659999999999997"/>
    <n v="727.78"/>
    <x v="39"/>
    <s v="13:35"/>
    <s v="Credit card"/>
    <n v="693.12"/>
    <n v="4.7618999999999998"/>
    <n v="34.659999999999997"/>
    <n v="8.1"/>
    <x v="39"/>
  </r>
  <r>
    <s v="C800-0340"/>
    <s v="C"/>
    <s v="Naypyitaw"/>
    <s v="Normal"/>
    <s v="Female"/>
    <s v="Health and beauty"/>
    <n v="56.04"/>
    <n v="6"/>
    <n v="16.809999999999999"/>
    <n v="353.05"/>
    <x v="26"/>
    <s v="20:45"/>
    <s v="Ewallet"/>
    <n v="336.24"/>
    <n v="4.7618999999999998"/>
    <n v="16.809999999999999"/>
    <n v="5.7"/>
    <x v="26"/>
  </r>
  <r>
    <s v="A767-0341"/>
    <s v="A"/>
    <s v="Yangon"/>
    <s v="Normal"/>
    <s v="Female"/>
    <s v="Home and lifestyle"/>
    <n v="98.95"/>
    <n v="6"/>
    <n v="29.69"/>
    <n v="623.39"/>
    <x v="31"/>
    <s v="14:50"/>
    <s v="Ewallet"/>
    <n v="593.70000000000005"/>
    <n v="4.7618999999999998"/>
    <n v="29.69"/>
    <n v="9.6999999999999993"/>
    <x v="31"/>
  </r>
  <r>
    <s v="B838-0342"/>
    <s v="B"/>
    <s v="Mandalay"/>
    <s v="Member"/>
    <s v="Female"/>
    <s v="Food and beverages"/>
    <n v="78.89"/>
    <n v="1"/>
    <n v="3.94"/>
    <n v="82.83"/>
    <x v="10"/>
    <s v="16:50"/>
    <s v="Credit card"/>
    <n v="78.89"/>
    <n v="4.7618999999999998"/>
    <n v="3.94"/>
    <n v="8.1"/>
    <x v="10"/>
  </r>
  <r>
    <s v="A935-0343"/>
    <s v="A"/>
    <s v="Yangon"/>
    <s v="Normal"/>
    <s v="Male"/>
    <s v="Home and lifestyle"/>
    <n v="91.62"/>
    <n v="7"/>
    <n v="32.07"/>
    <n v="673.41"/>
    <x v="33"/>
    <s v="10:45"/>
    <s v="Ewallet"/>
    <n v="641.34"/>
    <n v="4.7618999999999998"/>
    <n v="32.07"/>
    <n v="10"/>
    <x v="33"/>
  </r>
  <r>
    <s v="A960-0344"/>
    <s v="A"/>
    <s v="Yangon"/>
    <s v="Normal"/>
    <s v="Female"/>
    <s v="Fashion accessories"/>
    <n v="58.12"/>
    <n v="8"/>
    <n v="23.25"/>
    <n v="488.21"/>
    <x v="23"/>
    <s v="15:40"/>
    <s v="Credit card"/>
    <n v="464.96"/>
    <n v="4.7618999999999998"/>
    <n v="23.25"/>
    <n v="9.1"/>
    <x v="23"/>
  </r>
  <r>
    <s v="C327-0345"/>
    <s v="C"/>
    <s v="Naypyitaw"/>
    <s v="Member"/>
    <s v="Male"/>
    <s v="Health and beauty"/>
    <n v="52.37"/>
    <n v="5"/>
    <n v="13.09"/>
    <n v="274.94"/>
    <x v="26"/>
    <s v="12:50"/>
    <s v="Credit card"/>
    <n v="261.85000000000002"/>
    <n v="4.7618999999999998"/>
    <n v="13.09"/>
    <n v="7.9"/>
    <x v="26"/>
  </r>
  <r>
    <s v="B220-0346"/>
    <s v="B"/>
    <s v="Mandalay"/>
    <s v="Member"/>
    <s v="Male"/>
    <s v="Sports and travel"/>
    <n v="80.930000000000007"/>
    <n v="6"/>
    <n v="24.28"/>
    <n v="509.86"/>
    <x v="67"/>
    <s v="14:45"/>
    <s v="Credit card"/>
    <n v="485.58"/>
    <n v="4.7618999999999998"/>
    <n v="24.28"/>
    <n v="6.8"/>
    <x v="67"/>
  </r>
  <r>
    <s v="B155-0347"/>
    <s v="B"/>
    <s v="Mandalay"/>
    <s v="Member"/>
    <s v="Female"/>
    <s v="Sports and travel"/>
    <n v="90.05"/>
    <n v="9"/>
    <n v="40.520000000000003"/>
    <n v="850.97"/>
    <x v="41"/>
    <s v="20:30"/>
    <s v="Ewallet"/>
    <n v="810.45"/>
    <n v="4.7618999999999998"/>
    <n v="40.520000000000003"/>
    <n v="5.8"/>
    <x v="41"/>
  </r>
  <r>
    <s v="A182-0348"/>
    <s v="A"/>
    <s v="Yangon"/>
    <s v="Member"/>
    <s v="Female"/>
    <s v="Home and lifestyle"/>
    <n v="46.83"/>
    <n v="10"/>
    <n v="23.42"/>
    <n v="491.72"/>
    <x v="45"/>
    <s v="12:25"/>
    <s v="Ewallet"/>
    <n v="468.3"/>
    <n v="4.7618999999999998"/>
    <n v="23.42"/>
    <n v="5.0999999999999996"/>
    <x v="45"/>
  </r>
  <r>
    <s v="B262-0349"/>
    <s v="B"/>
    <s v="Mandalay"/>
    <s v="Normal"/>
    <s v="Female"/>
    <s v="Home and lifestyle"/>
    <n v="67.099999999999994"/>
    <n v="1"/>
    <n v="3.35"/>
    <n v="70.45"/>
    <x v="68"/>
    <s v="14:15"/>
    <s v="Cash"/>
    <n v="67.099999999999994"/>
    <n v="4.7618999999999998"/>
    <n v="3.35"/>
    <n v="7.5"/>
    <x v="68"/>
  </r>
  <r>
    <s v="B646-0350"/>
    <s v="B"/>
    <s v="Mandalay"/>
    <s v="Member"/>
    <s v="Female"/>
    <s v="Food and beverages"/>
    <n v="49.03"/>
    <n v="7"/>
    <n v="17.16"/>
    <n v="360.37"/>
    <x v="7"/>
    <s v="16:35"/>
    <s v="Credit card"/>
    <n v="343.21"/>
    <n v="4.7618999999999998"/>
    <n v="17.16"/>
    <n v="4"/>
    <x v="7"/>
  </r>
  <r>
    <s v="A354-0351"/>
    <s v="A"/>
    <s v="Yangon"/>
    <s v="Normal"/>
    <s v="Female"/>
    <s v="Home and lifestyle"/>
    <n v="78.12"/>
    <n v="9"/>
    <n v="35.15"/>
    <n v="738.23"/>
    <x v="16"/>
    <s v="10:50"/>
    <s v="Cash"/>
    <n v="703.08"/>
    <n v="4.7618999999999998"/>
    <n v="35.15"/>
    <n v="7.8"/>
    <x v="16"/>
  </r>
  <r>
    <s v="A405-0352"/>
    <s v="A"/>
    <s v="Yangon"/>
    <s v="Normal"/>
    <s v="Male"/>
    <s v="Electronic accessories"/>
    <n v="19.239999999999998"/>
    <n v="9"/>
    <n v="8.66"/>
    <n v="181.82"/>
    <x v="14"/>
    <s v="14:10"/>
    <s v="Cash"/>
    <n v="173.16"/>
    <n v="4.7618999999999998"/>
    <n v="8.66"/>
    <n v="8.9"/>
    <x v="14"/>
  </r>
  <r>
    <s v="B931-0353"/>
    <s v="B"/>
    <s v="Mandalay"/>
    <s v="Normal"/>
    <s v="Male"/>
    <s v="Sports and travel"/>
    <n v="89.92"/>
    <n v="3"/>
    <n v="13.49"/>
    <n v="283.25"/>
    <x v="54"/>
    <s v="17:25"/>
    <s v="Cash"/>
    <n v="269.76"/>
    <n v="4.7618999999999998"/>
    <n v="13.49"/>
    <n v="5"/>
    <x v="54"/>
  </r>
  <r>
    <s v="B475-0354"/>
    <s v="B"/>
    <s v="Mandalay"/>
    <s v="Member"/>
    <s v="Female"/>
    <s v="Electronic accessories"/>
    <n v="75.45"/>
    <n v="3"/>
    <n v="11.32"/>
    <n v="237.67"/>
    <x v="69"/>
    <s v="10:45"/>
    <s v="Ewallet"/>
    <n v="226.35"/>
    <n v="4.7618999999999998"/>
    <n v="11.32"/>
    <n v="5"/>
    <x v="69"/>
  </r>
  <r>
    <s v="C769-0355"/>
    <s v="C"/>
    <s v="Naypyitaw"/>
    <s v="Member"/>
    <s v="Male"/>
    <s v="Fashion accessories"/>
    <n v="33.020000000000003"/>
    <n v="9"/>
    <n v="14.86"/>
    <n v="312.04000000000002"/>
    <x v="34"/>
    <s v="10:45"/>
    <s v="Cash"/>
    <n v="297.18"/>
    <n v="4.7618999999999998"/>
    <n v="14.86"/>
    <n v="8"/>
    <x v="34"/>
  </r>
  <r>
    <s v="A811-0356"/>
    <s v="A"/>
    <s v="Yangon"/>
    <s v="Member"/>
    <s v="Female"/>
    <s v="Sports and travel"/>
    <n v="49.99"/>
    <n v="2"/>
    <n v="5"/>
    <n v="104.98"/>
    <x v="25"/>
    <s v="14:35"/>
    <s v="Ewallet"/>
    <n v="99.98"/>
    <n v="4.7618999999999998"/>
    <n v="5"/>
    <n v="4.9000000000000004"/>
    <x v="25"/>
  </r>
  <r>
    <s v="C950-0357"/>
    <s v="C"/>
    <s v="Naypyitaw"/>
    <s v="Member"/>
    <s v="Male"/>
    <s v="Sports and travel"/>
    <n v="69.55"/>
    <n v="9"/>
    <n v="31.3"/>
    <n v="657.25"/>
    <x v="48"/>
    <s v="19:45"/>
    <s v="Ewallet"/>
    <n v="625.95000000000005"/>
    <n v="4.7618999999999998"/>
    <n v="31.3"/>
    <n v="4.8"/>
    <x v="48"/>
  </r>
  <r>
    <s v="A306-0358"/>
    <s v="A"/>
    <s v="Yangon"/>
    <s v="Member"/>
    <s v="Male"/>
    <s v="Health and beauty"/>
    <n v="80.63"/>
    <n v="8"/>
    <n v="32.25"/>
    <n v="677.29"/>
    <x v="30"/>
    <s v="19:15"/>
    <s v="Credit card"/>
    <n v="645.04"/>
    <n v="4.7618999999999998"/>
    <n v="32.25"/>
    <n v="9"/>
    <x v="30"/>
  </r>
  <r>
    <s v="B787-0359"/>
    <s v="B"/>
    <s v="Mandalay"/>
    <s v="Normal"/>
    <s v="Male"/>
    <s v="Electronic accessories"/>
    <n v="13.55"/>
    <n v="8"/>
    <n v="5.42"/>
    <n v="113.82"/>
    <x v="83"/>
    <s v="17:25"/>
    <s v="Cash"/>
    <n v="108.4"/>
    <n v="4.7618999999999998"/>
    <n v="5.42"/>
    <n v="4"/>
    <x v="83"/>
  </r>
  <r>
    <s v="A403-0360"/>
    <s v="A"/>
    <s v="Yangon"/>
    <s v="Member"/>
    <s v="Male"/>
    <s v="Electronic accessories"/>
    <n v="95.45"/>
    <n v="9"/>
    <n v="42.95"/>
    <n v="902"/>
    <x v="15"/>
    <s v="11:20"/>
    <s v="Ewallet"/>
    <n v="859.05"/>
    <n v="4.7618999999999998"/>
    <n v="42.95"/>
    <n v="5.4"/>
    <x v="15"/>
  </r>
  <r>
    <s v="B218-0361"/>
    <s v="B"/>
    <s v="Mandalay"/>
    <s v="Normal"/>
    <s v="Female"/>
    <s v="Health and beauty"/>
    <n v="83.19"/>
    <n v="1"/>
    <n v="4.16"/>
    <n v="87.35"/>
    <x v="60"/>
    <s v="15:50"/>
    <s v="Credit card"/>
    <n v="83.19"/>
    <n v="4.7618999999999998"/>
    <n v="4.16"/>
    <n v="6.6"/>
    <x v="60"/>
  </r>
  <r>
    <s v="A850-0362"/>
    <s v="A"/>
    <s v="Yangon"/>
    <s v="Member"/>
    <s v="Female"/>
    <s v="Electronic accessories"/>
    <n v="69.7"/>
    <n v="3"/>
    <n v="10.46"/>
    <n v="219.56"/>
    <x v="51"/>
    <s v="15:35"/>
    <s v="Ewallet"/>
    <n v="209.1"/>
    <n v="4.7618999999999998"/>
    <n v="10.46"/>
    <n v="5.6"/>
    <x v="51"/>
  </r>
  <r>
    <s v="A919-0363"/>
    <s v="A"/>
    <s v="Yangon"/>
    <s v="Normal"/>
    <s v="Male"/>
    <s v="Electronic accessories"/>
    <n v="20.239999999999998"/>
    <n v="7"/>
    <n v="7.08"/>
    <n v="148.76"/>
    <x v="45"/>
    <s v="14:30"/>
    <s v="Ewallet"/>
    <n v="141.68"/>
    <n v="4.7618999999999998"/>
    <n v="7.08"/>
    <n v="9.1"/>
    <x v="45"/>
  </r>
  <r>
    <s v="B682-0364"/>
    <s v="B"/>
    <s v="Mandalay"/>
    <s v="Member"/>
    <s v="Female"/>
    <s v="Electronic accessories"/>
    <n v="72.66"/>
    <n v="1"/>
    <n v="3.63"/>
    <n v="76.290000000000006"/>
    <x v="2"/>
    <s v="11:30"/>
    <s v="Ewallet"/>
    <n v="72.66"/>
    <n v="4.7618999999999998"/>
    <n v="3.63"/>
    <n v="6.9"/>
    <x v="2"/>
  </r>
  <r>
    <s v="C233-0365"/>
    <s v="C"/>
    <s v="Naypyitaw"/>
    <s v="Normal"/>
    <s v="Female"/>
    <s v="Food and beverages"/>
    <n v="44.18"/>
    <n v="6"/>
    <n v="13.25"/>
    <n v="278.33"/>
    <x v="43"/>
    <s v="10:50"/>
    <s v="Ewallet"/>
    <n v="265.08"/>
    <n v="4.7618999999999998"/>
    <n v="13.25"/>
    <n v="9.8000000000000007"/>
    <x v="43"/>
  </r>
  <r>
    <s v="B794-0366"/>
    <s v="B"/>
    <s v="Mandalay"/>
    <s v="Normal"/>
    <s v="Female"/>
    <s v="Sports and travel"/>
    <n v="49.66"/>
    <n v="2"/>
    <n v="4.97"/>
    <n v="104.29"/>
    <x v="20"/>
    <s v="20:25"/>
    <s v="Cash"/>
    <n v="99.32"/>
    <n v="4.7618999999999998"/>
    <n v="4.97"/>
    <n v="8.1999999999999993"/>
    <x v="20"/>
  </r>
  <r>
    <s v="C454-0367"/>
    <s v="C"/>
    <s v="Naypyitaw"/>
    <s v="Member"/>
    <s v="Male"/>
    <s v="Food and beverages"/>
    <n v="57.08"/>
    <n v="10"/>
    <n v="28.54"/>
    <n v="599.34"/>
    <x v="75"/>
    <s v="16:50"/>
    <s v="Ewallet"/>
    <n v="570.79999999999995"/>
    <n v="4.7618999999999998"/>
    <n v="28.54"/>
    <n v="5.5"/>
    <x v="75"/>
  </r>
  <r>
    <s v="C580-0368"/>
    <s v="C"/>
    <s v="Naypyitaw"/>
    <s v="Normal"/>
    <s v="Female"/>
    <s v="Food and beverages"/>
    <n v="90.29"/>
    <n v="10"/>
    <n v="45.15"/>
    <n v="948.05"/>
    <x v="73"/>
    <s v="10:50"/>
    <s v="Cash"/>
    <n v="902.9"/>
    <n v="4.7618999999999998"/>
    <n v="45.15"/>
    <n v="7"/>
    <x v="73"/>
  </r>
  <r>
    <s v="B487-0369"/>
    <s v="B"/>
    <s v="Mandalay"/>
    <s v="Member"/>
    <s v="Female"/>
    <s v="Sports and travel"/>
    <n v="38.86"/>
    <n v="6"/>
    <n v="11.66"/>
    <n v="244.82"/>
    <x v="31"/>
    <s v="10:40"/>
    <s v="Cash"/>
    <n v="233.16"/>
    <n v="4.7618999999999998"/>
    <n v="11.66"/>
    <n v="7.3"/>
    <x v="31"/>
  </r>
  <r>
    <s v="B609-0370"/>
    <s v="B"/>
    <s v="Mandalay"/>
    <s v="Member"/>
    <s v="Female"/>
    <s v="Sports and travel"/>
    <n v="49.98"/>
    <n v="10"/>
    <n v="24.99"/>
    <n v="524.79"/>
    <x v="68"/>
    <s v="11:35"/>
    <s v="Credit card"/>
    <n v="499.8"/>
    <n v="4.7618999999999998"/>
    <n v="24.99"/>
    <n v="5.9"/>
    <x v="68"/>
  </r>
  <r>
    <s v="C752-0371"/>
    <s v="C"/>
    <s v="Naypyitaw"/>
    <s v="Member"/>
    <s v="Female"/>
    <s v="Sports and travel"/>
    <n v="47.11"/>
    <n v="9"/>
    <n v="21.2"/>
    <n v="445.19"/>
    <x v="25"/>
    <s v="10:05"/>
    <s v="Ewallet"/>
    <n v="423.99"/>
    <n v="4.7618999999999998"/>
    <n v="21.2"/>
    <n v="9.8000000000000007"/>
    <x v="25"/>
  </r>
  <r>
    <s v="B714-0372"/>
    <s v="B"/>
    <s v="Mandalay"/>
    <s v="Member"/>
    <s v="Male"/>
    <s v="Home and lifestyle"/>
    <n v="42.7"/>
    <n v="1"/>
    <n v="2.14"/>
    <n v="44.84"/>
    <x v="88"/>
    <s v="17:25"/>
    <s v="Ewallet"/>
    <n v="42.7"/>
    <n v="4.7618999999999998"/>
    <n v="2.14"/>
    <n v="8.6"/>
    <x v="88"/>
  </r>
  <r>
    <s v="B398-0373"/>
    <s v="B"/>
    <s v="Mandalay"/>
    <s v="Normal"/>
    <s v="Male"/>
    <s v="Health and beauty"/>
    <n v="18.77"/>
    <n v="4"/>
    <n v="3.75"/>
    <n v="78.83"/>
    <x v="78"/>
    <s v="15:25"/>
    <s v="Ewallet"/>
    <n v="75.08"/>
    <n v="4.7618999999999998"/>
    <n v="3.75"/>
    <n v="9.8000000000000007"/>
    <x v="78"/>
  </r>
  <r>
    <s v="C292-0374"/>
    <s v="C"/>
    <s v="Naypyitaw"/>
    <s v="Normal"/>
    <s v="Female"/>
    <s v="Health and beauty"/>
    <n v="90.72"/>
    <n v="8"/>
    <n v="36.29"/>
    <n v="762.05"/>
    <x v="0"/>
    <s v="16:05"/>
    <s v="Credit card"/>
    <n v="725.76"/>
    <n v="4.7618999999999998"/>
    <n v="36.29"/>
    <n v="7.7"/>
    <x v="0"/>
  </r>
  <r>
    <s v="A957-0375"/>
    <s v="A"/>
    <s v="Yangon"/>
    <s v="Normal"/>
    <s v="Female"/>
    <s v="Sports and travel"/>
    <n v="84.21"/>
    <n v="4"/>
    <n v="16.84"/>
    <n v="353.68"/>
    <x v="54"/>
    <s v="11:30"/>
    <s v="Cash"/>
    <n v="336.84"/>
    <n v="4.7618999999999998"/>
    <n v="16.84"/>
    <n v="9.6"/>
    <x v="54"/>
  </r>
  <r>
    <s v="C666-0376"/>
    <s v="C"/>
    <s v="Naypyitaw"/>
    <s v="Member"/>
    <s v="Male"/>
    <s v="Sports and travel"/>
    <n v="69.260000000000005"/>
    <n v="9"/>
    <n v="31.17"/>
    <n v="654.51"/>
    <x v="0"/>
    <s v="17:00"/>
    <s v="Ewallet"/>
    <n v="623.34"/>
    <n v="4.7618999999999998"/>
    <n v="31.17"/>
    <n v="8.4"/>
    <x v="0"/>
  </r>
  <r>
    <s v="B429-0377"/>
    <s v="B"/>
    <s v="Mandalay"/>
    <s v="Normal"/>
    <s v="Female"/>
    <s v="Fashion accessories"/>
    <n v="62.07"/>
    <n v="3"/>
    <n v="9.31"/>
    <n v="195.52"/>
    <x v="42"/>
    <s v="16:50"/>
    <s v="Ewallet"/>
    <n v="186.21"/>
    <n v="4.7618999999999998"/>
    <n v="9.31"/>
    <n v="7.6"/>
    <x v="42"/>
  </r>
  <r>
    <s v="C236-0378"/>
    <s v="C"/>
    <s v="Naypyitaw"/>
    <s v="Normal"/>
    <s v="Male"/>
    <s v="Food and beverages"/>
    <n v="92.43"/>
    <n v="4"/>
    <n v="18.489999999999998"/>
    <n v="388.21"/>
    <x v="31"/>
    <s v="16:25"/>
    <s v="Credit card"/>
    <n v="369.72"/>
    <n v="4.7618999999999998"/>
    <n v="18.489999999999998"/>
    <n v="6.7"/>
    <x v="31"/>
  </r>
  <r>
    <s v="A831-0379"/>
    <s v="A"/>
    <s v="Yangon"/>
    <s v="Normal"/>
    <s v="Male"/>
    <s v="Fashion accessories"/>
    <n v="59.3"/>
    <n v="6"/>
    <n v="17.79"/>
    <n v="373.59"/>
    <x v="25"/>
    <s v="20:15"/>
    <s v="Cash"/>
    <n v="355.8"/>
    <n v="4.7618999999999998"/>
    <n v="17.79"/>
    <n v="5.3"/>
    <x v="25"/>
  </r>
  <r>
    <s v="B218-0380"/>
    <s v="B"/>
    <s v="Mandalay"/>
    <s v="Normal"/>
    <s v="Female"/>
    <s v="Fashion accessories"/>
    <n v="68.510000000000005"/>
    <n v="3"/>
    <n v="10.28"/>
    <n v="215.81"/>
    <x v="1"/>
    <s v="18:55"/>
    <s v="Ewallet"/>
    <n v="205.53"/>
    <n v="4.7618999999999998"/>
    <n v="10.28"/>
    <n v="5.9"/>
    <x v="1"/>
  </r>
  <r>
    <s v="B490-0381"/>
    <s v="B"/>
    <s v="Mandalay"/>
    <s v="Normal"/>
    <s v="Male"/>
    <s v="Fashion accessories"/>
    <n v="77.31"/>
    <n v="9"/>
    <n v="34.79"/>
    <n v="730.58"/>
    <x v="47"/>
    <s v="16:00"/>
    <s v="Ewallet"/>
    <n v="695.79"/>
    <n v="4.7618999999999998"/>
    <n v="34.79"/>
    <n v="4.5999999999999996"/>
    <x v="47"/>
  </r>
  <r>
    <s v="A807-0382"/>
    <s v="A"/>
    <s v="Yangon"/>
    <s v="Member"/>
    <s v="Female"/>
    <s v="Electronic accessories"/>
    <n v="34.03"/>
    <n v="3"/>
    <n v="5.0999999999999996"/>
    <n v="107.19"/>
    <x v="47"/>
    <s v="20:20"/>
    <s v="Cash"/>
    <n v="102.09"/>
    <n v="4.7618999999999998"/>
    <n v="5.0999999999999996"/>
    <n v="9"/>
    <x v="47"/>
  </r>
  <r>
    <s v="B860-0383"/>
    <s v="B"/>
    <s v="Mandalay"/>
    <s v="Member"/>
    <s v="Female"/>
    <s v="Home and lifestyle"/>
    <n v="83.26"/>
    <n v="2"/>
    <n v="8.33"/>
    <n v="174.85"/>
    <x v="43"/>
    <s v="20:55"/>
    <s v="Ewallet"/>
    <n v="166.52"/>
    <n v="4.7618999999999998"/>
    <n v="8.33"/>
    <n v="9.1999999999999993"/>
    <x v="43"/>
  </r>
  <r>
    <s v="C907-0384"/>
    <s v="C"/>
    <s v="Naypyitaw"/>
    <s v="Normal"/>
    <s v="Female"/>
    <s v="Food and beverages"/>
    <n v="80.59"/>
    <n v="5"/>
    <n v="20.149999999999999"/>
    <n v="423.1"/>
    <x v="81"/>
    <s v="20:00"/>
    <s v="Credit card"/>
    <n v="402.95"/>
    <n v="4.7618999999999998"/>
    <n v="20.149999999999999"/>
    <n v="6.3"/>
    <x v="81"/>
  </r>
  <r>
    <s v="C763-0385"/>
    <s v="C"/>
    <s v="Naypyitaw"/>
    <s v="Normal"/>
    <s v="Female"/>
    <s v="Health and beauty"/>
    <n v="76.930000000000007"/>
    <n v="4"/>
    <n v="15.39"/>
    <n v="323.11"/>
    <x v="34"/>
    <s v="17:15"/>
    <s v="Ewallet"/>
    <n v="307.72000000000003"/>
    <n v="4.7618999999999998"/>
    <n v="15.39"/>
    <n v="8.1999999999999993"/>
    <x v="34"/>
  </r>
  <r>
    <s v="B141-0386"/>
    <s v="B"/>
    <s v="Mandalay"/>
    <s v="Member"/>
    <s v="Female"/>
    <s v="Home and lifestyle"/>
    <n v="50.39"/>
    <n v="2"/>
    <n v="5.04"/>
    <n v="105.82"/>
    <x v="18"/>
    <s v="12:55"/>
    <s v="Ewallet"/>
    <n v="100.78"/>
    <n v="4.7618999999999998"/>
    <n v="5.04"/>
    <n v="4.7"/>
    <x v="18"/>
  </r>
  <r>
    <s v="B140-0387"/>
    <s v="B"/>
    <s v="Mandalay"/>
    <s v="Normal"/>
    <s v="Male"/>
    <s v="Electronic accessories"/>
    <n v="24.48"/>
    <n v="5"/>
    <n v="6.12"/>
    <n v="128.52000000000001"/>
    <x v="78"/>
    <s v="15:35"/>
    <s v="Ewallet"/>
    <n v="122.4"/>
    <n v="4.7618999999999998"/>
    <n v="6.12"/>
    <n v="9.6"/>
    <x v="78"/>
  </r>
  <r>
    <s v="A824-0388"/>
    <s v="A"/>
    <s v="Yangon"/>
    <s v="Normal"/>
    <s v="Female"/>
    <s v="Fashion accessories"/>
    <n v="65.400000000000006"/>
    <n v="5"/>
    <n v="16.350000000000001"/>
    <n v="343.35"/>
    <x v="44"/>
    <s v="19:40"/>
    <s v="Credit card"/>
    <n v="327"/>
    <n v="4.7618999999999998"/>
    <n v="16.350000000000001"/>
    <n v="4.4000000000000004"/>
    <x v="44"/>
  </r>
  <r>
    <s v="B457-0389"/>
    <s v="B"/>
    <s v="Mandalay"/>
    <s v="Member"/>
    <s v="Female"/>
    <s v="Food and beverages"/>
    <n v="16.14"/>
    <n v="9"/>
    <n v="7.26"/>
    <n v="152.52000000000001"/>
    <x v="2"/>
    <s v="16:40"/>
    <s v="Ewallet"/>
    <n v="145.26"/>
    <n v="4.7618999999999998"/>
    <n v="7.26"/>
    <n v="6.4"/>
    <x v="2"/>
  </r>
  <r>
    <s v="A764-0390"/>
    <s v="A"/>
    <s v="Yangon"/>
    <s v="Member"/>
    <s v="Male"/>
    <s v="Home and lifestyle"/>
    <n v="42.47"/>
    <n v="4"/>
    <n v="8.49"/>
    <n v="178.37"/>
    <x v="34"/>
    <s v="18:35"/>
    <s v="Ewallet"/>
    <n v="169.88"/>
    <n v="4.7618999999999998"/>
    <n v="8.49"/>
    <n v="8.9"/>
    <x v="34"/>
  </r>
  <r>
    <s v="A490-0391"/>
    <s v="A"/>
    <s v="Yangon"/>
    <s v="Member"/>
    <s v="Male"/>
    <s v="Sports and travel"/>
    <n v="31.63"/>
    <n v="10"/>
    <n v="15.82"/>
    <n v="332.12"/>
    <x v="34"/>
    <s v="13:00"/>
    <s v="Ewallet"/>
    <n v="316.3"/>
    <n v="4.7618999999999998"/>
    <n v="15.82"/>
    <n v="9.3000000000000007"/>
    <x v="34"/>
  </r>
  <r>
    <s v="A144-0392"/>
    <s v="A"/>
    <s v="Yangon"/>
    <s v="Normal"/>
    <s v="Male"/>
    <s v="Food and beverages"/>
    <n v="75.16"/>
    <n v="1"/>
    <n v="3.76"/>
    <n v="78.92"/>
    <x v="72"/>
    <s v="15:40"/>
    <s v="Ewallet"/>
    <n v="75.16"/>
    <n v="4.7618999999999998"/>
    <n v="3.76"/>
    <n v="6.7"/>
    <x v="72"/>
  </r>
  <r>
    <s v="B315-0393"/>
    <s v="B"/>
    <s v="Mandalay"/>
    <s v="Member"/>
    <s v="Male"/>
    <s v="Food and beverages"/>
    <n v="17.41"/>
    <n v="2"/>
    <n v="1.74"/>
    <n v="36.56"/>
    <x v="38"/>
    <s v="18:40"/>
    <s v="Cash"/>
    <n v="34.82"/>
    <n v="4.7618999999999998"/>
    <n v="1.74"/>
    <n v="7.8"/>
    <x v="38"/>
  </r>
  <r>
    <s v="C570-0394"/>
    <s v="C"/>
    <s v="Naypyitaw"/>
    <s v="Member"/>
    <s v="Male"/>
    <s v="Health and beauty"/>
    <n v="28.5"/>
    <n v="7"/>
    <n v="9.98"/>
    <n v="209.48"/>
    <x v="80"/>
    <s v="11:55"/>
    <s v="Ewallet"/>
    <n v="199.5"/>
    <n v="4.7618999999999998"/>
    <n v="9.98"/>
    <n v="4.9000000000000004"/>
    <x v="80"/>
  </r>
  <r>
    <s v="C364-0395"/>
    <s v="C"/>
    <s v="Naypyitaw"/>
    <s v="Normal"/>
    <s v="Female"/>
    <s v="Health and beauty"/>
    <n v="16.59"/>
    <n v="3"/>
    <n v="2.4900000000000002"/>
    <n v="52.26"/>
    <x v="39"/>
    <s v="18:05"/>
    <s v="Ewallet"/>
    <n v="49.77"/>
    <n v="4.7618999999999998"/>
    <n v="2.4900000000000002"/>
    <n v="8.9"/>
    <x v="39"/>
  </r>
  <r>
    <s v="B756-0396"/>
    <s v="B"/>
    <s v="Mandalay"/>
    <s v="Normal"/>
    <s v="Male"/>
    <s v="Fashion accessories"/>
    <n v="46.4"/>
    <n v="6"/>
    <n v="13.92"/>
    <n v="292.32"/>
    <x v="37"/>
    <s v="16:50"/>
    <s v="Cash"/>
    <n v="278.39999999999998"/>
    <n v="4.7618999999999998"/>
    <n v="13.92"/>
    <n v="7.2"/>
    <x v="37"/>
  </r>
  <r>
    <s v="C188-0397"/>
    <s v="C"/>
    <s v="Naypyitaw"/>
    <s v="Member"/>
    <s v="Female"/>
    <s v="Fashion accessories"/>
    <n v="86.34"/>
    <n v="6"/>
    <n v="25.9"/>
    <n v="543.94000000000005"/>
    <x v="1"/>
    <s v="11:20"/>
    <s v="Ewallet"/>
    <n v="518.04"/>
    <n v="4.7618999999999998"/>
    <n v="25.9"/>
    <n v="5.8"/>
    <x v="1"/>
  </r>
  <r>
    <s v="B500-0398"/>
    <s v="B"/>
    <s v="Mandalay"/>
    <s v="Normal"/>
    <s v="Male"/>
    <s v="Sports and travel"/>
    <n v="83.99"/>
    <n v="1"/>
    <n v="4.2"/>
    <n v="88.19"/>
    <x v="50"/>
    <s v="12:40"/>
    <s v="Cash"/>
    <n v="83.99"/>
    <n v="4.7618999999999998"/>
    <n v="4.2"/>
    <n v="4.8"/>
    <x v="50"/>
  </r>
  <r>
    <s v="C105-0399"/>
    <s v="C"/>
    <s v="Naypyitaw"/>
    <s v="Normal"/>
    <s v="Female"/>
    <s v="Home and lifestyle"/>
    <n v="70.959999999999994"/>
    <n v="6"/>
    <n v="21.29"/>
    <n v="447.05"/>
    <x v="77"/>
    <s v="18:40"/>
    <s v="Cash"/>
    <n v="425.76"/>
    <n v="4.7618999999999998"/>
    <n v="21.29"/>
    <n v="4.7"/>
    <x v="77"/>
  </r>
  <r>
    <s v="C288-0400"/>
    <s v="C"/>
    <s v="Naypyitaw"/>
    <s v="Normal"/>
    <s v="Female"/>
    <s v="Home and lifestyle"/>
    <n v="28.9"/>
    <n v="6"/>
    <n v="8.67"/>
    <n v="182.07"/>
    <x v="69"/>
    <s v="16:50"/>
    <s v="Ewallet"/>
    <n v="173.4"/>
    <n v="4.7618999999999998"/>
    <n v="8.67"/>
    <n v="4.9000000000000004"/>
    <x v="69"/>
  </r>
  <r>
    <s v="A397-0401"/>
    <s v="A"/>
    <s v="Yangon"/>
    <s v="Normal"/>
    <s v="Female"/>
    <s v="Health and beauty"/>
    <n v="26.32"/>
    <n v="10"/>
    <n v="13.16"/>
    <n v="276.36"/>
    <x v="73"/>
    <s v="18:35"/>
    <s v="Ewallet"/>
    <n v="263.2"/>
    <n v="4.7618999999999998"/>
    <n v="13.16"/>
    <n v="7.3"/>
    <x v="73"/>
  </r>
  <r>
    <s v="C340-0402"/>
    <s v="C"/>
    <s v="Naypyitaw"/>
    <s v="Member"/>
    <s v="Male"/>
    <s v="Health and beauty"/>
    <n v="27.77"/>
    <n v="10"/>
    <n v="13.88"/>
    <n v="291.58"/>
    <x v="44"/>
    <s v="15:25"/>
    <s v="Cash"/>
    <n v="277.7"/>
    <n v="4.7618999999999998"/>
    <n v="13.88"/>
    <n v="8"/>
    <x v="44"/>
  </r>
  <r>
    <s v="A256-0403"/>
    <s v="A"/>
    <s v="Yangon"/>
    <s v="Normal"/>
    <s v="Female"/>
    <s v="Electronic accessories"/>
    <n v="38.6"/>
    <n v="8"/>
    <n v="15.44"/>
    <n v="324.24"/>
    <x v="51"/>
    <s v="19:50"/>
    <s v="Credit card"/>
    <n v="308.8"/>
    <n v="4.7618999999999998"/>
    <n v="15.44"/>
    <n v="8.1999999999999993"/>
    <x v="51"/>
  </r>
  <r>
    <s v="C383-0404"/>
    <s v="C"/>
    <s v="Naypyitaw"/>
    <s v="Normal"/>
    <s v="Male"/>
    <s v="Sports and travel"/>
    <n v="25.18"/>
    <n v="6"/>
    <n v="7.55"/>
    <n v="158.63"/>
    <x v="40"/>
    <s v="13:55"/>
    <s v="Ewallet"/>
    <n v="151.08000000000001"/>
    <n v="4.7618999999999998"/>
    <n v="7.55"/>
    <n v="7.8"/>
    <x v="40"/>
  </r>
  <r>
    <s v="B721-0405"/>
    <s v="B"/>
    <s v="Mandalay"/>
    <s v="Member"/>
    <s v="Male"/>
    <s v="Sports and travel"/>
    <n v="51.66"/>
    <n v="6"/>
    <n v="15.5"/>
    <n v="325.45999999999998"/>
    <x v="12"/>
    <s v="17:40"/>
    <s v="Cash"/>
    <n v="309.95999999999998"/>
    <n v="4.7618999999999998"/>
    <n v="15.5"/>
    <n v="5.0999999999999996"/>
    <x v="12"/>
  </r>
  <r>
    <s v="A695-0406"/>
    <s v="A"/>
    <s v="Yangon"/>
    <s v="Normal"/>
    <s v="Female"/>
    <s v="Food and beverages"/>
    <n v="27.68"/>
    <n v="2"/>
    <n v="2.77"/>
    <n v="58.13"/>
    <x v="15"/>
    <s v="10:40"/>
    <s v="Ewallet"/>
    <n v="55.36"/>
    <n v="4.7618999999999998"/>
    <n v="2.77"/>
    <n v="4.2"/>
    <x v="15"/>
  </r>
  <r>
    <s v="C328-0407"/>
    <s v="C"/>
    <s v="Naypyitaw"/>
    <s v="Normal"/>
    <s v="Female"/>
    <s v="Health and beauty"/>
    <n v="59.64"/>
    <n v="9"/>
    <n v="26.84"/>
    <n v="563.6"/>
    <x v="63"/>
    <s v="17:50"/>
    <s v="Cash"/>
    <n v="536.76"/>
    <n v="4.7618999999999998"/>
    <n v="26.84"/>
    <n v="6.2"/>
    <x v="63"/>
  </r>
  <r>
    <s v="C968-0408"/>
    <s v="C"/>
    <s v="Naypyitaw"/>
    <s v="Normal"/>
    <s v="Female"/>
    <s v="Sports and travel"/>
    <n v="55.1"/>
    <n v="2"/>
    <n v="5.51"/>
    <n v="115.71"/>
    <x v="87"/>
    <s v="15:40"/>
    <s v="Cash"/>
    <n v="110.2"/>
    <n v="4.7618999999999998"/>
    <n v="5.51"/>
    <n v="8"/>
    <x v="87"/>
  </r>
  <r>
    <s v="C467-0409"/>
    <s v="C"/>
    <s v="Naypyitaw"/>
    <s v="Member"/>
    <s v="Female"/>
    <s v="Sports and travel"/>
    <n v="24.33"/>
    <n v="10"/>
    <n v="12.17"/>
    <n v="255.47"/>
    <x v="86"/>
    <s v="20:10"/>
    <s v="Ewallet"/>
    <n v="243.3"/>
    <n v="4.7618999999999998"/>
    <n v="12.17"/>
    <n v="8.4"/>
    <x v="86"/>
  </r>
  <r>
    <s v="A910-0410"/>
    <s v="A"/>
    <s v="Yangon"/>
    <s v="Member"/>
    <s v="Male"/>
    <s v="Electronic accessories"/>
    <n v="15.66"/>
    <n v="6"/>
    <n v="4.7"/>
    <n v="98.66"/>
    <x v="57"/>
    <s v="10:50"/>
    <s v="Cash"/>
    <n v="93.96"/>
    <n v="4.7618999999999998"/>
    <n v="4.7"/>
    <n v="7.1"/>
    <x v="57"/>
  </r>
  <r>
    <s v="B748-0411"/>
    <s v="B"/>
    <s v="Mandalay"/>
    <s v="Normal"/>
    <s v="Male"/>
    <s v="Sports and travel"/>
    <n v="89.34"/>
    <n v="1"/>
    <n v="4.47"/>
    <n v="93.81"/>
    <x v="62"/>
    <s v="15:05"/>
    <s v="Ewallet"/>
    <n v="89.34"/>
    <n v="4.7618999999999998"/>
    <n v="4.47"/>
    <n v="9.8000000000000007"/>
    <x v="62"/>
  </r>
  <r>
    <s v="B328-0412"/>
    <s v="B"/>
    <s v="Mandalay"/>
    <s v="Normal"/>
    <s v="Female"/>
    <s v="Sports and travel"/>
    <n v="68.83"/>
    <n v="6"/>
    <n v="20.65"/>
    <n v="433.63"/>
    <x v="14"/>
    <s v="20:05"/>
    <s v="Ewallet"/>
    <n v="412.98"/>
    <n v="4.7618999999999998"/>
    <n v="20.65"/>
    <n v="5.5"/>
    <x v="14"/>
  </r>
  <r>
    <s v="C335-0413"/>
    <s v="C"/>
    <s v="Naypyitaw"/>
    <s v="Normal"/>
    <s v="Male"/>
    <s v="Home and lifestyle"/>
    <n v="53.82"/>
    <n v="8"/>
    <n v="21.53"/>
    <n v="452.09"/>
    <x v="3"/>
    <s v="10:40"/>
    <s v="Cash"/>
    <n v="430.56"/>
    <n v="4.7618999999999998"/>
    <n v="21.53"/>
    <n v="6.6"/>
    <x v="3"/>
  </r>
  <r>
    <s v="A438-0414"/>
    <s v="A"/>
    <s v="Yangon"/>
    <s v="Normal"/>
    <s v="Female"/>
    <s v="Electronic accessories"/>
    <n v="26.82"/>
    <n v="6"/>
    <n v="8.0500000000000007"/>
    <n v="168.97"/>
    <x v="3"/>
    <s v="11:50"/>
    <s v="Cash"/>
    <n v="160.91999999999999"/>
    <n v="4.7618999999999998"/>
    <n v="8.0500000000000007"/>
    <n v="6.5"/>
    <x v="3"/>
  </r>
  <r>
    <s v="C144-0415"/>
    <s v="C"/>
    <s v="Naypyitaw"/>
    <s v="Member"/>
    <s v="Male"/>
    <s v="Fashion accessories"/>
    <n v="53.09"/>
    <n v="4"/>
    <n v="10.62"/>
    <n v="222.98"/>
    <x v="14"/>
    <s v="12:50"/>
    <s v="Credit card"/>
    <n v="212.36"/>
    <n v="4.7618999999999998"/>
    <n v="10.62"/>
    <n v="4.0999999999999996"/>
    <x v="14"/>
  </r>
  <r>
    <s v="A629-0416"/>
    <s v="A"/>
    <s v="Yangon"/>
    <s v="Member"/>
    <s v="Female"/>
    <s v="Fashion accessories"/>
    <n v="56.14"/>
    <n v="10"/>
    <n v="28.07"/>
    <n v="589.47"/>
    <x v="8"/>
    <s v="10:10"/>
    <s v="Credit card"/>
    <n v="561.4"/>
    <n v="4.7618999999999998"/>
    <n v="28.07"/>
    <n v="9.5"/>
    <x v="8"/>
  </r>
  <r>
    <s v="B715-0417"/>
    <s v="B"/>
    <s v="Mandalay"/>
    <s v="Member"/>
    <s v="Male"/>
    <s v="Health and beauty"/>
    <n v="29.49"/>
    <n v="10"/>
    <n v="14.74"/>
    <n v="309.64"/>
    <x v="50"/>
    <s v="17:10"/>
    <s v="Cash"/>
    <n v="294.89999999999998"/>
    <n v="4.7618999999999998"/>
    <n v="14.74"/>
    <n v="9"/>
    <x v="50"/>
  </r>
  <r>
    <s v="A494-0418"/>
    <s v="A"/>
    <s v="Yangon"/>
    <s v="Member"/>
    <s v="Male"/>
    <s v="Electronic accessories"/>
    <n v="75.180000000000007"/>
    <n v="6"/>
    <n v="22.55"/>
    <n v="473.63"/>
    <x v="45"/>
    <s v="19:45"/>
    <s v="Cash"/>
    <n v="451.08"/>
    <n v="4.7618999999999998"/>
    <n v="22.55"/>
    <n v="5.4"/>
    <x v="45"/>
  </r>
  <r>
    <s v="A587-0419"/>
    <s v="A"/>
    <s v="Yangon"/>
    <s v="Member"/>
    <s v="Female"/>
    <s v="Electronic accessories"/>
    <n v="57.04"/>
    <n v="9"/>
    <n v="25.67"/>
    <n v="539.03"/>
    <x v="65"/>
    <s v="16:10"/>
    <s v="Ewallet"/>
    <n v="513.36"/>
    <n v="4.7618999999999998"/>
    <n v="25.67"/>
    <n v="4.5999999999999996"/>
    <x v="65"/>
  </r>
  <r>
    <s v="C634-0420"/>
    <s v="C"/>
    <s v="Naypyitaw"/>
    <s v="Member"/>
    <s v="Female"/>
    <s v="Health and beauty"/>
    <n v="53.4"/>
    <n v="3"/>
    <n v="8.01"/>
    <n v="168.21"/>
    <x v="3"/>
    <s v="18:00"/>
    <s v="Ewallet"/>
    <n v="160.19999999999999"/>
    <n v="4.7618999999999998"/>
    <n v="8.01"/>
    <n v="7.9"/>
    <x v="3"/>
  </r>
  <r>
    <s v="B879-0421"/>
    <s v="B"/>
    <s v="Mandalay"/>
    <s v="Normal"/>
    <s v="Female"/>
    <s v="Fashion accessories"/>
    <n v="57.68"/>
    <n v="4"/>
    <n v="11.54"/>
    <n v="242.26"/>
    <x v="76"/>
    <s v="16:25"/>
    <s v="Ewallet"/>
    <n v="230.72"/>
    <n v="4.7618999999999998"/>
    <n v="11.54"/>
    <n v="8.8000000000000007"/>
    <x v="76"/>
  </r>
  <r>
    <s v="C293-0422"/>
    <s v="C"/>
    <s v="Naypyitaw"/>
    <s v="Member"/>
    <s v="Male"/>
    <s v="Electronic accessories"/>
    <n v="32.909999999999997"/>
    <n v="4"/>
    <n v="6.58"/>
    <n v="138.22"/>
    <x v="22"/>
    <s v="14:45"/>
    <s v="Ewallet"/>
    <n v="131.63999999999999"/>
    <n v="4.7618999999999998"/>
    <n v="6.58"/>
    <n v="6.5"/>
    <x v="22"/>
  </r>
  <r>
    <s v="A536-0423"/>
    <s v="A"/>
    <s v="Yangon"/>
    <s v="Member"/>
    <s v="Female"/>
    <s v="Food and beverages"/>
    <n v="10.65"/>
    <n v="4"/>
    <n v="2.13"/>
    <n v="44.73"/>
    <x v="81"/>
    <s v="15:30"/>
    <s v="Credit card"/>
    <n v="42.6"/>
    <n v="4.7618999999999998"/>
    <n v="2.13"/>
    <n v="4.5999999999999996"/>
    <x v="81"/>
  </r>
  <r>
    <s v="C523-0424"/>
    <s v="C"/>
    <s v="Naypyitaw"/>
    <s v="Normal"/>
    <s v="Male"/>
    <s v="Food and beverages"/>
    <n v="48.12"/>
    <n v="6"/>
    <n v="14.44"/>
    <n v="303.16000000000003"/>
    <x v="43"/>
    <s v="14:50"/>
    <s v="Credit card"/>
    <n v="288.72000000000003"/>
    <n v="4.7618999999999998"/>
    <n v="14.44"/>
    <n v="8.5"/>
    <x v="43"/>
  </r>
  <r>
    <s v="C507-0425"/>
    <s v="C"/>
    <s v="Naypyitaw"/>
    <s v="Normal"/>
    <s v="Female"/>
    <s v="Home and lifestyle"/>
    <n v="60.32"/>
    <n v="8"/>
    <n v="24.13"/>
    <n v="506.69"/>
    <x v="39"/>
    <s v="14:45"/>
    <s v="Credit card"/>
    <n v="482.56"/>
    <n v="4.7618999999999998"/>
    <n v="24.13"/>
    <n v="8.6"/>
    <x v="39"/>
  </r>
  <r>
    <s v="C920-0426"/>
    <s v="C"/>
    <s v="Naypyitaw"/>
    <s v="Member"/>
    <s v="Female"/>
    <s v="Fashion accessories"/>
    <n v="30.68"/>
    <n v="3"/>
    <n v="4.5999999999999996"/>
    <n v="96.64"/>
    <x v="75"/>
    <s v="13:40"/>
    <s v="Credit card"/>
    <n v="92.04"/>
    <n v="4.7618999999999998"/>
    <n v="4.5999999999999996"/>
    <n v="8.6999999999999993"/>
    <x v="75"/>
  </r>
  <r>
    <s v="C165-0427"/>
    <s v="C"/>
    <s v="Naypyitaw"/>
    <s v="Member"/>
    <s v="Female"/>
    <s v="Sports and travel"/>
    <n v="96.81"/>
    <n v="1"/>
    <n v="4.84"/>
    <n v="101.65"/>
    <x v="19"/>
    <s v="12:35"/>
    <s v="Ewallet"/>
    <n v="96.81"/>
    <n v="4.7618999999999998"/>
    <n v="4.84"/>
    <n v="6.6"/>
    <x v="19"/>
  </r>
  <r>
    <s v="B711-0428"/>
    <s v="B"/>
    <s v="Mandalay"/>
    <s v="Member"/>
    <s v="Male"/>
    <s v="Health and beauty"/>
    <n v="64.81"/>
    <n v="7"/>
    <n v="22.68"/>
    <n v="476.35"/>
    <x v="7"/>
    <s v="19:50"/>
    <s v="Ewallet"/>
    <n v="453.67"/>
    <n v="4.7618999999999998"/>
    <n v="22.68"/>
    <n v="5.7"/>
    <x v="7"/>
  </r>
  <r>
    <s v="A815-0429"/>
    <s v="A"/>
    <s v="Yangon"/>
    <s v="Member"/>
    <s v="Male"/>
    <s v="Sports and travel"/>
    <n v="10.96"/>
    <n v="9"/>
    <n v="4.93"/>
    <n v="103.57"/>
    <x v="47"/>
    <s v="13:00"/>
    <s v="Ewallet"/>
    <n v="98.64"/>
    <n v="4.7618999999999998"/>
    <n v="4.93"/>
    <n v="7.1"/>
    <x v="47"/>
  </r>
  <r>
    <s v="A504-0430"/>
    <s v="A"/>
    <s v="Yangon"/>
    <s v="Member"/>
    <s v="Female"/>
    <s v="Home and lifestyle"/>
    <n v="31.53"/>
    <n v="1"/>
    <n v="1.58"/>
    <n v="33.11"/>
    <x v="2"/>
    <s v="11:20"/>
    <s v="Credit card"/>
    <n v="31.53"/>
    <n v="4.7618999999999998"/>
    <n v="1.58"/>
    <n v="6.1"/>
    <x v="2"/>
  </r>
  <r>
    <s v="B456-0431"/>
    <s v="B"/>
    <s v="Mandalay"/>
    <s v="Member"/>
    <s v="Female"/>
    <s v="Fashion accessories"/>
    <n v="73.33"/>
    <n v="2"/>
    <n v="7.33"/>
    <n v="153.99"/>
    <x v="25"/>
    <s v="14:55"/>
    <s v="Ewallet"/>
    <n v="146.66"/>
    <n v="4.7618999999999998"/>
    <n v="7.33"/>
    <n v="9.5"/>
    <x v="25"/>
  </r>
  <r>
    <s v="B618-0432"/>
    <s v="B"/>
    <s v="Mandalay"/>
    <s v="Normal"/>
    <s v="Female"/>
    <s v="Food and beverages"/>
    <n v="96.68"/>
    <n v="8"/>
    <n v="38.67"/>
    <n v="812.11"/>
    <x v="7"/>
    <s v="19:00"/>
    <s v="Credit card"/>
    <n v="773.44"/>
    <n v="4.7618999999999998"/>
    <n v="38.67"/>
    <n v="5.0999999999999996"/>
    <x v="7"/>
  </r>
  <r>
    <s v="A486-0433"/>
    <s v="A"/>
    <s v="Yangon"/>
    <s v="Member"/>
    <s v="Male"/>
    <s v="Home and lifestyle"/>
    <n v="95.23"/>
    <n v="9"/>
    <n v="42.85"/>
    <n v="899.92"/>
    <x v="39"/>
    <s v="18:45"/>
    <s v="Credit card"/>
    <n v="857.07"/>
    <n v="4.7618999999999998"/>
    <n v="42.85"/>
    <n v="8.1999999999999993"/>
    <x v="39"/>
  </r>
  <r>
    <s v="C364-0434"/>
    <s v="C"/>
    <s v="Naypyitaw"/>
    <s v="Normal"/>
    <s v="Female"/>
    <s v="Home and lifestyle"/>
    <n v="96.51"/>
    <n v="8"/>
    <n v="38.6"/>
    <n v="810.68"/>
    <x v="65"/>
    <s v="17:45"/>
    <s v="Cash"/>
    <n v="772.08"/>
    <n v="4.7618999999999998"/>
    <n v="38.6"/>
    <n v="6.9"/>
    <x v="65"/>
  </r>
  <r>
    <s v="A952-0435"/>
    <s v="A"/>
    <s v="Yangon"/>
    <s v="Normal"/>
    <s v="Female"/>
    <s v="Fashion accessories"/>
    <n v="73.11"/>
    <n v="6"/>
    <n v="21.93"/>
    <n v="460.59"/>
    <x v="29"/>
    <s v="15:40"/>
    <s v="Ewallet"/>
    <n v="438.66"/>
    <n v="4.7618999999999998"/>
    <n v="21.93"/>
    <n v="4.0999999999999996"/>
    <x v="29"/>
  </r>
  <r>
    <s v="B323-0436"/>
    <s v="B"/>
    <s v="Mandalay"/>
    <s v="Member"/>
    <s v="Male"/>
    <s v="Health and beauty"/>
    <n v="45.9"/>
    <n v="6"/>
    <n v="13.77"/>
    <n v="289.17"/>
    <x v="15"/>
    <s v="18:10"/>
    <s v="Credit card"/>
    <n v="275.39999999999998"/>
    <n v="4.7618999999999998"/>
    <n v="13.77"/>
    <n v="5.9"/>
    <x v="15"/>
  </r>
  <r>
    <s v="C371-0437"/>
    <s v="C"/>
    <s v="Naypyitaw"/>
    <s v="Normal"/>
    <s v="Female"/>
    <s v="Fashion accessories"/>
    <n v="71.48"/>
    <n v="4"/>
    <n v="14.3"/>
    <n v="300.22000000000003"/>
    <x v="85"/>
    <s v="13:15"/>
    <s v="Ewallet"/>
    <n v="285.92"/>
    <n v="4.7618999999999998"/>
    <n v="14.3"/>
    <n v="5.5"/>
    <x v="85"/>
  </r>
  <r>
    <s v="A779-0438"/>
    <s v="A"/>
    <s v="Yangon"/>
    <s v="Member"/>
    <s v="Female"/>
    <s v="Electronic accessories"/>
    <n v="85.27"/>
    <n v="6"/>
    <n v="25.58"/>
    <n v="537.20000000000005"/>
    <x v="82"/>
    <s v="11:05"/>
    <s v="Cash"/>
    <n v="511.62"/>
    <n v="4.7618999999999998"/>
    <n v="25.58"/>
    <n v="8.1"/>
    <x v="82"/>
  </r>
  <r>
    <s v="B882-0439"/>
    <s v="B"/>
    <s v="Mandalay"/>
    <s v="Member"/>
    <s v="Female"/>
    <s v="Sports and travel"/>
    <n v="43.41"/>
    <n v="6"/>
    <n v="13.02"/>
    <n v="273.48"/>
    <x v="85"/>
    <s v="19:20"/>
    <s v="Credit card"/>
    <n v="260.45999999999998"/>
    <n v="4.7618999999999998"/>
    <n v="13.02"/>
    <n v="5.0999999999999996"/>
    <x v="85"/>
  </r>
  <r>
    <s v="C133-0440"/>
    <s v="C"/>
    <s v="Naypyitaw"/>
    <s v="Normal"/>
    <s v="Male"/>
    <s v="Electronic accessories"/>
    <n v="77.52"/>
    <n v="3"/>
    <n v="11.63"/>
    <n v="244.19"/>
    <x v="73"/>
    <s v="18:30"/>
    <s v="Credit card"/>
    <n v="232.56"/>
    <n v="4.7618999999999998"/>
    <n v="11.63"/>
    <n v="9.6"/>
    <x v="73"/>
  </r>
  <r>
    <s v="C112-0441"/>
    <s v="C"/>
    <s v="Naypyitaw"/>
    <s v="Normal"/>
    <s v="Male"/>
    <s v="Fashion accessories"/>
    <n v="79.83"/>
    <n v="8"/>
    <n v="31.93"/>
    <n v="670.57"/>
    <x v="41"/>
    <s v="18:35"/>
    <s v="Credit card"/>
    <n v="638.64"/>
    <n v="4.7618999999999998"/>
    <n v="31.93"/>
    <n v="8.1"/>
    <x v="41"/>
  </r>
  <r>
    <s v="C375-0442"/>
    <s v="C"/>
    <s v="Naypyitaw"/>
    <s v="Member"/>
    <s v="Male"/>
    <s v="Food and beverages"/>
    <n v="19.07"/>
    <n v="6"/>
    <n v="5.72"/>
    <n v="120.14"/>
    <x v="43"/>
    <s v="14:10"/>
    <s v="Ewallet"/>
    <n v="114.42"/>
    <n v="4.7618999999999998"/>
    <n v="5.72"/>
    <n v="5.6"/>
    <x v="43"/>
  </r>
  <r>
    <s v="B284-0443"/>
    <s v="B"/>
    <s v="Mandalay"/>
    <s v="Normal"/>
    <s v="Male"/>
    <s v="Electronic accessories"/>
    <n v="54.89"/>
    <n v="4"/>
    <n v="10.98"/>
    <n v="230.54"/>
    <x v="74"/>
    <s v="15:25"/>
    <s v="Credit card"/>
    <n v="219.56"/>
    <n v="4.7618999999999998"/>
    <n v="10.98"/>
    <n v="5.7"/>
    <x v="74"/>
  </r>
  <r>
    <s v="C856-0444"/>
    <s v="C"/>
    <s v="Naypyitaw"/>
    <s v="Member"/>
    <s v="Female"/>
    <s v="Health and beauty"/>
    <n v="74.87"/>
    <n v="4"/>
    <n v="14.97"/>
    <n v="314.45"/>
    <x v="26"/>
    <s v="16:30"/>
    <s v="Cash"/>
    <n v="299.48"/>
    <n v="4.7618999999999998"/>
    <n v="14.97"/>
    <n v="4.9000000000000004"/>
    <x v="26"/>
  </r>
  <r>
    <s v="A598-0445"/>
    <s v="A"/>
    <s v="Yangon"/>
    <s v="Normal"/>
    <s v="Female"/>
    <s v="Electronic accessories"/>
    <n v="47.94"/>
    <n v="3"/>
    <n v="7.19"/>
    <n v="151.01"/>
    <x v="58"/>
    <s v="18:40"/>
    <s v="Ewallet"/>
    <n v="143.82"/>
    <n v="4.7618999999999998"/>
    <n v="7.19"/>
    <n v="5.9"/>
    <x v="58"/>
  </r>
  <r>
    <s v="B198-0446"/>
    <s v="B"/>
    <s v="Mandalay"/>
    <s v="Normal"/>
    <s v="Female"/>
    <s v="Sports and travel"/>
    <n v="18.91"/>
    <n v="3"/>
    <n v="2.84"/>
    <n v="59.57"/>
    <x v="17"/>
    <s v="13:20"/>
    <s v="Credit card"/>
    <n v="56.73"/>
    <n v="4.7618999999999998"/>
    <n v="2.84"/>
    <n v="9"/>
    <x v="17"/>
  </r>
  <r>
    <s v="B988-0447"/>
    <s v="B"/>
    <s v="Mandalay"/>
    <s v="Normal"/>
    <s v="Male"/>
    <s v="Home and lifestyle"/>
    <n v="42.43"/>
    <n v="9"/>
    <n v="19.09"/>
    <n v="400.96"/>
    <x v="39"/>
    <s v="15:00"/>
    <s v="Credit card"/>
    <n v="381.87"/>
    <n v="4.7618999999999998"/>
    <n v="19.09"/>
    <n v="4.7"/>
    <x v="39"/>
  </r>
  <r>
    <s v="C574-0448"/>
    <s v="C"/>
    <s v="Naypyitaw"/>
    <s v="Member"/>
    <s v="Female"/>
    <s v="Home and lifestyle"/>
    <n v="41.96"/>
    <n v="9"/>
    <n v="18.88"/>
    <n v="396.52"/>
    <x v="44"/>
    <s v="17:05"/>
    <s v="Credit card"/>
    <n v="377.64"/>
    <n v="4.7618999999999998"/>
    <n v="18.88"/>
    <n v="7.7"/>
    <x v="44"/>
  </r>
  <r>
    <s v="C173-0449"/>
    <s v="C"/>
    <s v="Naypyitaw"/>
    <s v="Member"/>
    <s v="Female"/>
    <s v="Fashion accessories"/>
    <n v="82.69"/>
    <n v="6"/>
    <n v="24.81"/>
    <n v="520.95000000000005"/>
    <x v="74"/>
    <s v="20:45"/>
    <s v="Ewallet"/>
    <n v="496.14"/>
    <n v="4.7618999999999998"/>
    <n v="24.81"/>
    <n v="6.4"/>
    <x v="74"/>
  </r>
  <r>
    <s v="A555-0450"/>
    <s v="A"/>
    <s v="Yangon"/>
    <s v="Member"/>
    <s v="Male"/>
    <s v="Electronic accessories"/>
    <n v="38.21"/>
    <n v="5"/>
    <n v="9.5500000000000007"/>
    <n v="200.6"/>
    <x v="48"/>
    <s v="19:50"/>
    <s v="Credit card"/>
    <n v="191.05"/>
    <n v="4.7618999999999998"/>
    <n v="9.5500000000000007"/>
    <n v="5.6"/>
    <x v="48"/>
  </r>
  <r>
    <s v="B817-0451"/>
    <s v="B"/>
    <s v="Mandalay"/>
    <s v="Normal"/>
    <s v="Male"/>
    <s v="Electronic accessories"/>
    <n v="26.55"/>
    <n v="1"/>
    <n v="1.33"/>
    <n v="27.88"/>
    <x v="27"/>
    <s v="13:50"/>
    <s v="Credit card"/>
    <n v="26.55"/>
    <n v="4.7618999999999998"/>
    <n v="1.33"/>
    <n v="9.6"/>
    <x v="27"/>
  </r>
  <r>
    <s v="C506-0452"/>
    <s v="C"/>
    <s v="Naypyitaw"/>
    <s v="Member"/>
    <s v="Female"/>
    <s v="Electronic accessories"/>
    <n v="45.73"/>
    <n v="2"/>
    <n v="4.57"/>
    <n v="96.03"/>
    <x v="36"/>
    <s v="17:40"/>
    <s v="Cash"/>
    <n v="91.46"/>
    <n v="4.7618999999999998"/>
    <n v="4.57"/>
    <n v="4.2"/>
    <x v="36"/>
  </r>
  <r>
    <s v="C390-0453"/>
    <s v="C"/>
    <s v="Naypyitaw"/>
    <s v="Member"/>
    <s v="Female"/>
    <s v="Home and lifestyle"/>
    <n v="65.63"/>
    <n v="2"/>
    <n v="6.56"/>
    <n v="137.82"/>
    <x v="62"/>
    <s v="16:20"/>
    <s v="Cash"/>
    <n v="131.26"/>
    <n v="4.7618999999999998"/>
    <n v="6.56"/>
    <n v="5.5"/>
    <x v="62"/>
  </r>
  <r>
    <s v="B578-0454"/>
    <s v="B"/>
    <s v="Mandalay"/>
    <s v="Member"/>
    <s v="Female"/>
    <s v="Food and beverages"/>
    <n v="85.47"/>
    <n v="1"/>
    <n v="4.2699999999999996"/>
    <n v="89.74"/>
    <x v="52"/>
    <s v="20:25"/>
    <s v="Credit card"/>
    <n v="85.47"/>
    <n v="4.7618999999999998"/>
    <n v="4.2699999999999996"/>
    <n v="9.1999999999999993"/>
    <x v="52"/>
  </r>
  <r>
    <s v="C751-0455"/>
    <s v="C"/>
    <s v="Naypyitaw"/>
    <s v="Normal"/>
    <s v="Male"/>
    <s v="Electronic accessories"/>
    <n v="97.26"/>
    <n v="9"/>
    <n v="43.77"/>
    <n v="919.11"/>
    <x v="32"/>
    <s v="19:45"/>
    <s v="Credit card"/>
    <n v="875.34"/>
    <n v="4.7618999999999998"/>
    <n v="43.77"/>
    <n v="7.8"/>
    <x v="32"/>
  </r>
  <r>
    <s v="C259-0456"/>
    <s v="C"/>
    <s v="Naypyitaw"/>
    <s v="Normal"/>
    <s v="Male"/>
    <s v="Home and lifestyle"/>
    <n v="53.35"/>
    <n v="4"/>
    <n v="10.67"/>
    <n v="224.07"/>
    <x v="19"/>
    <s v="17:20"/>
    <s v="Credit card"/>
    <n v="213.4"/>
    <n v="4.7618999999999998"/>
    <n v="10.67"/>
    <n v="6.5"/>
    <x v="19"/>
  </r>
  <r>
    <s v="B603-0457"/>
    <s v="B"/>
    <s v="Mandalay"/>
    <s v="Member"/>
    <s v="Female"/>
    <s v="Food and beverages"/>
    <n v="83.38"/>
    <n v="3"/>
    <n v="12.51"/>
    <n v="262.64999999999998"/>
    <x v="66"/>
    <s v="14:35"/>
    <s v="Ewallet"/>
    <n v="250.14"/>
    <n v="4.7618999999999998"/>
    <n v="12.51"/>
    <n v="4"/>
    <x v="66"/>
  </r>
  <r>
    <s v="B674-0458"/>
    <s v="B"/>
    <s v="Mandalay"/>
    <s v="Normal"/>
    <s v="Female"/>
    <s v="Sports and travel"/>
    <n v="81.819999999999993"/>
    <n v="10"/>
    <n v="40.909999999999997"/>
    <n v="859.11"/>
    <x v="57"/>
    <s v="10:40"/>
    <s v="Credit card"/>
    <n v="818.2"/>
    <n v="4.7618999999999998"/>
    <n v="40.909999999999997"/>
    <n v="5.0999999999999996"/>
    <x v="57"/>
  </r>
  <r>
    <s v="B345-0459"/>
    <s v="B"/>
    <s v="Mandalay"/>
    <s v="Normal"/>
    <s v="Female"/>
    <s v="Electronic accessories"/>
    <n v="74.34"/>
    <n v="7"/>
    <n v="26.02"/>
    <n v="546.4"/>
    <x v="79"/>
    <s v="13:20"/>
    <s v="Cash"/>
    <n v="520.38"/>
    <n v="4.7618999999999998"/>
    <n v="26.02"/>
    <n v="6.5"/>
    <x v="79"/>
  </r>
  <r>
    <s v="C213-0460"/>
    <s v="C"/>
    <s v="Naypyitaw"/>
    <s v="Normal"/>
    <s v="Male"/>
    <s v="Fashion accessories"/>
    <n v="76.86"/>
    <n v="5"/>
    <n v="19.22"/>
    <n v="403.52"/>
    <x v="29"/>
    <s v="13:05"/>
    <s v="Cash"/>
    <n v="384.3"/>
    <n v="4.7618999999999998"/>
    <n v="19.22"/>
    <n v="4.8"/>
    <x v="29"/>
  </r>
  <r>
    <s v="C647-0461"/>
    <s v="C"/>
    <s v="Naypyitaw"/>
    <s v="Normal"/>
    <s v="Male"/>
    <s v="Home and lifestyle"/>
    <n v="73.040000000000006"/>
    <n v="8"/>
    <n v="29.22"/>
    <n v="613.54"/>
    <x v="16"/>
    <s v="15:00"/>
    <s v="Cash"/>
    <n v="584.32000000000005"/>
    <n v="4.7618999999999998"/>
    <n v="29.22"/>
    <n v="4.3"/>
    <x v="16"/>
  </r>
  <r>
    <s v="A322-0462"/>
    <s v="A"/>
    <s v="Yangon"/>
    <s v="Member"/>
    <s v="Female"/>
    <s v="Home and lifestyle"/>
    <n v="34.229999999999997"/>
    <n v="8"/>
    <n v="13.69"/>
    <n v="287.52999999999997"/>
    <x v="77"/>
    <s v="13:05"/>
    <s v="Cash"/>
    <n v="273.83999999999997"/>
    <n v="4.7618999999999998"/>
    <n v="13.69"/>
    <n v="4.0999999999999996"/>
    <x v="77"/>
  </r>
  <r>
    <s v="B894-0463"/>
    <s v="B"/>
    <s v="Mandalay"/>
    <s v="Normal"/>
    <s v="Male"/>
    <s v="Sports and travel"/>
    <n v="99.82"/>
    <n v="8"/>
    <n v="39.93"/>
    <n v="838.49"/>
    <x v="52"/>
    <s v="15:05"/>
    <s v="Cash"/>
    <n v="798.56"/>
    <n v="4.7618999999999998"/>
    <n v="39.93"/>
    <n v="4.3"/>
    <x v="52"/>
  </r>
  <r>
    <s v="B889-0464"/>
    <s v="B"/>
    <s v="Mandalay"/>
    <s v="Member"/>
    <s v="Male"/>
    <s v="Electronic accessories"/>
    <n v="27.3"/>
    <n v="5"/>
    <n v="6.83"/>
    <n v="143.33000000000001"/>
    <x v="79"/>
    <s v="10:05"/>
    <s v="Ewallet"/>
    <n v="136.5"/>
    <n v="4.7618999999999998"/>
    <n v="6.83"/>
    <n v="5.5"/>
    <x v="79"/>
  </r>
  <r>
    <s v="B419-0465"/>
    <s v="B"/>
    <s v="Mandalay"/>
    <s v="Member"/>
    <s v="Female"/>
    <s v="Electronic accessories"/>
    <n v="51.48"/>
    <n v="2"/>
    <n v="5.15"/>
    <n v="108.11"/>
    <x v="72"/>
    <s v="20:15"/>
    <s v="Credit card"/>
    <n v="102.96"/>
    <n v="4.7618999999999998"/>
    <n v="5.15"/>
    <n v="6.3"/>
    <x v="72"/>
  </r>
  <r>
    <s v="B469-0466"/>
    <s v="B"/>
    <s v="Mandalay"/>
    <s v="Member"/>
    <s v="Female"/>
    <s v="Fashion accessories"/>
    <n v="94.37"/>
    <n v="9"/>
    <n v="42.47"/>
    <n v="891.8"/>
    <x v="41"/>
    <s v="14:35"/>
    <s v="Ewallet"/>
    <n v="849.33"/>
    <n v="4.7618999999999998"/>
    <n v="42.47"/>
    <n v="5.8"/>
    <x v="41"/>
  </r>
  <r>
    <s v="A908-0467"/>
    <s v="A"/>
    <s v="Yangon"/>
    <s v="Member"/>
    <s v="Female"/>
    <s v="Electronic accessories"/>
    <n v="66.959999999999994"/>
    <n v="6"/>
    <n v="20.09"/>
    <n v="421.85"/>
    <x v="77"/>
    <s v="12:20"/>
    <s v="Ewallet"/>
    <n v="401.76"/>
    <n v="4.7618999999999998"/>
    <n v="20.09"/>
    <n v="4.7"/>
    <x v="77"/>
  </r>
  <r>
    <s v="A354-0468"/>
    <s v="A"/>
    <s v="Yangon"/>
    <s v="Member"/>
    <s v="Female"/>
    <s v="Food and beverages"/>
    <n v="80.510000000000005"/>
    <n v="8"/>
    <n v="32.200000000000003"/>
    <n v="676.28"/>
    <x v="81"/>
    <s v="19:10"/>
    <s v="Credit card"/>
    <n v="644.08000000000004"/>
    <n v="4.7618999999999998"/>
    <n v="32.200000000000003"/>
    <n v="8.6"/>
    <x v="81"/>
  </r>
  <r>
    <s v="A910-0469"/>
    <s v="A"/>
    <s v="Yangon"/>
    <s v="Normal"/>
    <s v="Female"/>
    <s v="Fashion accessories"/>
    <n v="65.680000000000007"/>
    <n v="1"/>
    <n v="3.28"/>
    <n v="68.959999999999994"/>
    <x v="17"/>
    <s v="15:50"/>
    <s v="Cash"/>
    <n v="65.680000000000007"/>
    <n v="4.7618999999999998"/>
    <n v="3.28"/>
    <n v="8.1999999999999993"/>
    <x v="17"/>
  </r>
  <r>
    <s v="A805-0470"/>
    <s v="A"/>
    <s v="Yangon"/>
    <s v="Member"/>
    <s v="Male"/>
    <s v="Electronic accessories"/>
    <n v="38.51"/>
    <n v="9"/>
    <n v="17.329999999999998"/>
    <n v="363.92"/>
    <x v="80"/>
    <s v="15:35"/>
    <s v="Ewallet"/>
    <n v="346.59"/>
    <n v="4.7618999999999998"/>
    <n v="17.329999999999998"/>
    <n v="5.2"/>
    <x v="80"/>
  </r>
  <r>
    <s v="B294-0471"/>
    <s v="B"/>
    <s v="Mandalay"/>
    <s v="Normal"/>
    <s v="Female"/>
    <s v="Home and lifestyle"/>
    <n v="90.88"/>
    <n v="8"/>
    <n v="36.35"/>
    <n v="763.39"/>
    <x v="64"/>
    <s v="18:20"/>
    <s v="Ewallet"/>
    <n v="727.04"/>
    <n v="4.7618999999999998"/>
    <n v="36.35"/>
    <n v="8.1999999999999993"/>
    <x v="64"/>
  </r>
  <r>
    <s v="C560-0472"/>
    <s v="C"/>
    <s v="Naypyitaw"/>
    <s v="Member"/>
    <s v="Male"/>
    <s v="Home and lifestyle"/>
    <n v="75.92"/>
    <n v="5"/>
    <n v="18.98"/>
    <n v="398.58"/>
    <x v="10"/>
    <s v="18:10"/>
    <s v="Cash"/>
    <n v="379.6"/>
    <n v="4.7618999999999998"/>
    <n v="18.98"/>
    <n v="7.2"/>
    <x v="10"/>
  </r>
  <r>
    <s v="B894-0473"/>
    <s v="B"/>
    <s v="Mandalay"/>
    <s v="Normal"/>
    <s v="Male"/>
    <s v="Sports and travel"/>
    <n v="10.06"/>
    <n v="9"/>
    <n v="4.53"/>
    <n v="95.07"/>
    <x v="79"/>
    <s v="12:00"/>
    <s v="Ewallet"/>
    <n v="90.54"/>
    <n v="4.7618999999999998"/>
    <n v="4.53"/>
    <n v="9.1"/>
    <x v="79"/>
  </r>
  <r>
    <s v="C664-0474"/>
    <s v="C"/>
    <s v="Naypyitaw"/>
    <s v="Member"/>
    <s v="Male"/>
    <s v="Fashion accessories"/>
    <n v="15.7"/>
    <n v="9"/>
    <n v="7.07"/>
    <n v="148.37"/>
    <x v="33"/>
    <s v="13:40"/>
    <s v="Ewallet"/>
    <n v="141.30000000000001"/>
    <n v="4.7618999999999998"/>
    <n v="7.07"/>
    <n v="7"/>
    <x v="33"/>
  </r>
  <r>
    <s v="A232-0475"/>
    <s v="A"/>
    <s v="Yangon"/>
    <s v="Normal"/>
    <s v="Male"/>
    <s v="Sports and travel"/>
    <n v="67.680000000000007"/>
    <n v="2"/>
    <n v="6.77"/>
    <n v="142.13"/>
    <x v="75"/>
    <s v="18:50"/>
    <s v="Cash"/>
    <n v="135.36000000000001"/>
    <n v="4.7618999999999998"/>
    <n v="6.77"/>
    <n v="4.3"/>
    <x v="75"/>
  </r>
  <r>
    <s v="A638-0476"/>
    <s v="A"/>
    <s v="Yangon"/>
    <s v="Member"/>
    <s v="Female"/>
    <s v="Health and beauty"/>
    <n v="53.68"/>
    <n v="2"/>
    <n v="5.37"/>
    <n v="112.73"/>
    <x v="52"/>
    <s v="19:50"/>
    <s v="Credit card"/>
    <n v="107.36"/>
    <n v="4.7618999999999998"/>
    <n v="5.37"/>
    <n v="7.9"/>
    <x v="52"/>
  </r>
  <r>
    <s v="C952-0477"/>
    <s v="C"/>
    <s v="Naypyitaw"/>
    <s v="Normal"/>
    <s v="Female"/>
    <s v="Home and lifestyle"/>
    <n v="29.87"/>
    <n v="2"/>
    <n v="2.99"/>
    <n v="62.73"/>
    <x v="77"/>
    <s v="13:50"/>
    <s v="Credit card"/>
    <n v="59.74"/>
    <n v="4.7618999999999998"/>
    <n v="2.99"/>
    <n v="9.6"/>
    <x v="77"/>
  </r>
  <r>
    <s v="A851-0478"/>
    <s v="A"/>
    <s v="Yangon"/>
    <s v="Normal"/>
    <s v="Female"/>
    <s v="Home and lifestyle"/>
    <n v="60.22"/>
    <n v="7"/>
    <n v="21.08"/>
    <n v="442.62"/>
    <x v="67"/>
    <s v="10:45"/>
    <s v="Credit card"/>
    <n v="421.54"/>
    <n v="4.7618999999999998"/>
    <n v="21.08"/>
    <n v="7.2"/>
    <x v="67"/>
  </r>
  <r>
    <s v="A638-0479"/>
    <s v="A"/>
    <s v="Yangon"/>
    <s v="Normal"/>
    <s v="Female"/>
    <s v="Electronic accessories"/>
    <n v="96.45"/>
    <n v="2"/>
    <n v="9.65"/>
    <n v="202.55"/>
    <x v="75"/>
    <s v="13:40"/>
    <s v="Credit card"/>
    <n v="192.9"/>
    <n v="4.7618999999999998"/>
    <n v="9.65"/>
    <n v="5.0999999999999996"/>
    <x v="75"/>
  </r>
  <r>
    <s v="C819-0480"/>
    <s v="C"/>
    <s v="Naypyitaw"/>
    <s v="Member"/>
    <s v="Female"/>
    <s v="Food and beverages"/>
    <n v="77.430000000000007"/>
    <n v="7"/>
    <n v="27.1"/>
    <n v="569.11"/>
    <x v="42"/>
    <s v="20:45"/>
    <s v="Credit card"/>
    <n v="542.01"/>
    <n v="4.7618999999999998"/>
    <n v="27.1"/>
    <n v="8"/>
    <x v="42"/>
  </r>
  <r>
    <s v="C714-0481"/>
    <s v="C"/>
    <s v="Naypyitaw"/>
    <s v="Normal"/>
    <s v="Female"/>
    <s v="Electronic accessories"/>
    <n v="81.319999999999993"/>
    <n v="9"/>
    <n v="36.590000000000003"/>
    <n v="768.47"/>
    <x v="7"/>
    <s v="18:25"/>
    <s v="Ewallet"/>
    <n v="731.88"/>
    <n v="4.7618999999999998"/>
    <n v="36.590000000000003"/>
    <n v="4.9000000000000004"/>
    <x v="7"/>
  </r>
  <r>
    <s v="B431-0482"/>
    <s v="B"/>
    <s v="Mandalay"/>
    <s v="Normal"/>
    <s v="Male"/>
    <s v="Food and beverages"/>
    <n v="99.23"/>
    <n v="6"/>
    <n v="29.77"/>
    <n v="625.15"/>
    <x v="67"/>
    <s v="16:50"/>
    <s v="Credit card"/>
    <n v="595.38"/>
    <n v="4.7618999999999998"/>
    <n v="29.77"/>
    <n v="9"/>
    <x v="67"/>
  </r>
  <r>
    <s v="C135-0483"/>
    <s v="C"/>
    <s v="Naypyitaw"/>
    <s v="Member"/>
    <s v="Female"/>
    <s v="Sports and travel"/>
    <n v="78.91"/>
    <n v="5"/>
    <n v="19.73"/>
    <n v="414.28"/>
    <x v="53"/>
    <s v="17:35"/>
    <s v="Credit card"/>
    <n v="394.55"/>
    <n v="4.7618999999999998"/>
    <n v="19.73"/>
    <n v="4"/>
    <x v="53"/>
  </r>
  <r>
    <s v="B666-0484"/>
    <s v="B"/>
    <s v="Mandalay"/>
    <s v="Member"/>
    <s v="Female"/>
    <s v="Home and lifestyle"/>
    <n v="10.59"/>
    <n v="4"/>
    <n v="2.12"/>
    <n v="44.48"/>
    <x v="69"/>
    <s v="15:00"/>
    <s v="Ewallet"/>
    <n v="42.36"/>
    <n v="4.7618999999999998"/>
    <n v="2.12"/>
    <n v="8.9"/>
    <x v="69"/>
  </r>
  <r>
    <s v="C362-0485"/>
    <s v="C"/>
    <s v="Naypyitaw"/>
    <s v="Member"/>
    <s v="Female"/>
    <s v="Health and beauty"/>
    <n v="51.43"/>
    <n v="3"/>
    <n v="7.71"/>
    <n v="162"/>
    <x v="0"/>
    <s v="14:25"/>
    <s v="Ewallet"/>
    <n v="154.29"/>
    <n v="4.7618999999999998"/>
    <n v="7.71"/>
    <n v="5.5"/>
    <x v="0"/>
  </r>
  <r>
    <s v="B806-0486"/>
    <s v="B"/>
    <s v="Mandalay"/>
    <s v="Member"/>
    <s v="Male"/>
    <s v="Food and beverages"/>
    <n v="92.61"/>
    <n v="2"/>
    <n v="9.26"/>
    <n v="194.48"/>
    <x v="59"/>
    <s v="17:10"/>
    <s v="Credit card"/>
    <n v="185.22"/>
    <n v="4.7618999999999998"/>
    <n v="9.26"/>
    <n v="9"/>
    <x v="59"/>
  </r>
  <r>
    <s v="C936-0487"/>
    <s v="C"/>
    <s v="Naypyitaw"/>
    <s v="Member"/>
    <s v="Male"/>
    <s v="Health and beauty"/>
    <n v="75.77"/>
    <n v="10"/>
    <n v="37.89"/>
    <n v="795.59"/>
    <x v="79"/>
    <s v="11:00"/>
    <s v="Credit card"/>
    <n v="757.7"/>
    <n v="4.7618999999999998"/>
    <n v="37.89"/>
    <n v="6.1"/>
    <x v="79"/>
  </r>
  <r>
    <s v="B636-0488"/>
    <s v="B"/>
    <s v="Mandalay"/>
    <s v="Normal"/>
    <s v="Female"/>
    <s v="Electronic accessories"/>
    <n v="77.290000000000006"/>
    <n v="10"/>
    <n v="38.65"/>
    <n v="811.55"/>
    <x v="77"/>
    <s v="20:50"/>
    <s v="Credit card"/>
    <n v="772.9"/>
    <n v="4.7618999999999998"/>
    <n v="38.65"/>
    <n v="4.3"/>
    <x v="77"/>
  </r>
  <r>
    <s v="A556-0489"/>
    <s v="A"/>
    <s v="Yangon"/>
    <s v="Normal"/>
    <s v="Female"/>
    <s v="Home and lifestyle"/>
    <n v="55.22"/>
    <n v="4"/>
    <n v="11.04"/>
    <n v="231.92"/>
    <x v="82"/>
    <s v="10:50"/>
    <s v="Ewallet"/>
    <n v="220.88"/>
    <n v="4.7618999999999998"/>
    <n v="11.04"/>
    <n v="10"/>
    <x v="82"/>
  </r>
  <r>
    <s v="C863-0490"/>
    <s v="C"/>
    <s v="Naypyitaw"/>
    <s v="Member"/>
    <s v="Female"/>
    <s v="Sports and travel"/>
    <n v="36.08"/>
    <n v="7"/>
    <n v="12.63"/>
    <n v="265.19"/>
    <x v="8"/>
    <s v="12:25"/>
    <s v="Cash"/>
    <n v="252.56"/>
    <n v="4.7618999999999998"/>
    <n v="12.63"/>
    <n v="6.9"/>
    <x v="8"/>
  </r>
  <r>
    <s v="A504-0491"/>
    <s v="A"/>
    <s v="Yangon"/>
    <s v="Normal"/>
    <s v="Male"/>
    <s v="Health and beauty"/>
    <n v="45.87"/>
    <n v="7"/>
    <n v="16.05"/>
    <n v="337.14"/>
    <x v="27"/>
    <s v="12:35"/>
    <s v="Ewallet"/>
    <n v="321.08999999999997"/>
    <n v="4.7618999999999998"/>
    <n v="16.05"/>
    <n v="5.2"/>
    <x v="27"/>
  </r>
  <r>
    <s v="C523-0492"/>
    <s v="C"/>
    <s v="Naypyitaw"/>
    <s v="Member"/>
    <s v="Female"/>
    <s v="Electronic accessories"/>
    <n v="16.45"/>
    <n v="7"/>
    <n v="5.76"/>
    <n v="120.91"/>
    <x v="59"/>
    <s v="20:45"/>
    <s v="Cash"/>
    <n v="115.15"/>
    <n v="4.7618999999999998"/>
    <n v="5.76"/>
    <n v="4.7"/>
    <x v="59"/>
  </r>
  <r>
    <s v="B731-0493"/>
    <s v="B"/>
    <s v="Mandalay"/>
    <s v="Normal"/>
    <s v="Male"/>
    <s v="Electronic accessories"/>
    <n v="38.869999999999997"/>
    <n v="10"/>
    <n v="19.440000000000001"/>
    <n v="408.14"/>
    <x v="62"/>
    <s v="10:20"/>
    <s v="Cash"/>
    <n v="388.7"/>
    <n v="4.7618999999999998"/>
    <n v="19.440000000000001"/>
    <n v="9.9"/>
    <x v="62"/>
  </r>
  <r>
    <s v="B973-0494"/>
    <s v="B"/>
    <s v="Mandalay"/>
    <s v="Member"/>
    <s v="Male"/>
    <s v="Health and beauty"/>
    <n v="93.18"/>
    <n v="4"/>
    <n v="18.64"/>
    <n v="391.36"/>
    <x v="30"/>
    <s v="20:25"/>
    <s v="Cash"/>
    <n v="372.72"/>
    <n v="4.7618999999999998"/>
    <n v="18.64"/>
    <n v="8.5"/>
    <x v="30"/>
  </r>
  <r>
    <s v="A412-0495"/>
    <s v="A"/>
    <s v="Yangon"/>
    <s v="Member"/>
    <s v="Female"/>
    <s v="Electronic accessories"/>
    <n v="95.4"/>
    <n v="3"/>
    <n v="14.31"/>
    <n v="300.51"/>
    <x v="47"/>
    <s v="10:25"/>
    <s v="Ewallet"/>
    <n v="286.2"/>
    <n v="4.7618999999999998"/>
    <n v="14.31"/>
    <n v="8.8000000000000007"/>
    <x v="47"/>
  </r>
  <r>
    <s v="B661-0496"/>
    <s v="B"/>
    <s v="Mandalay"/>
    <s v="Normal"/>
    <s v="Female"/>
    <s v="Home and lifestyle"/>
    <n v="28.81"/>
    <n v="9"/>
    <n v="12.96"/>
    <n v="272.25"/>
    <x v="69"/>
    <s v="13:40"/>
    <s v="Ewallet"/>
    <n v="259.29000000000002"/>
    <n v="4.7618999999999998"/>
    <n v="12.96"/>
    <n v="8.5"/>
    <x v="69"/>
  </r>
  <r>
    <s v="B908-0497"/>
    <s v="B"/>
    <s v="Mandalay"/>
    <s v="Member"/>
    <s v="Female"/>
    <s v="Sports and travel"/>
    <n v="62.47"/>
    <n v="9"/>
    <n v="28.11"/>
    <n v="590.34"/>
    <x v="55"/>
    <s v="14:10"/>
    <s v="Cash"/>
    <n v="562.23"/>
    <n v="4.7618999999999998"/>
    <n v="28.11"/>
    <n v="5.7"/>
    <x v="55"/>
  </r>
  <r>
    <s v="C775-0498"/>
    <s v="C"/>
    <s v="Naypyitaw"/>
    <s v="Normal"/>
    <s v="Female"/>
    <s v="Sports and travel"/>
    <n v="68.930000000000007"/>
    <n v="1"/>
    <n v="3.45"/>
    <n v="72.38"/>
    <x v="36"/>
    <s v="16:50"/>
    <s v="Credit card"/>
    <n v="68.930000000000007"/>
    <n v="4.7618999999999998"/>
    <n v="3.45"/>
    <n v="8"/>
    <x v="36"/>
  </r>
  <r>
    <s v="B423-0499"/>
    <s v="B"/>
    <s v="Mandalay"/>
    <s v="Member"/>
    <s v="Female"/>
    <s v="Home and lifestyle"/>
    <n v="88.07"/>
    <n v="7"/>
    <n v="30.82"/>
    <n v="647.30999999999995"/>
    <x v="57"/>
    <s v="16:40"/>
    <s v="Ewallet"/>
    <n v="616.49"/>
    <n v="4.7618999999999998"/>
    <n v="30.82"/>
    <n v="4.5999999999999996"/>
    <x v="57"/>
  </r>
  <r>
    <s v="B412-0500"/>
    <s v="B"/>
    <s v="Mandalay"/>
    <s v="Member"/>
    <s v="Female"/>
    <s v="Electronic accessories"/>
    <n v="55.06"/>
    <n v="8"/>
    <n v="22.02"/>
    <n v="462.5"/>
    <x v="26"/>
    <s v="10:00"/>
    <s v="Cash"/>
    <n v="440.48"/>
    <n v="4.7618999999999998"/>
    <n v="22.02"/>
    <n v="9.5"/>
    <x v="26"/>
  </r>
  <r>
    <s v="B613-0501"/>
    <s v="B"/>
    <s v="Mandalay"/>
    <s v="Normal"/>
    <s v="Male"/>
    <s v="Fashion accessories"/>
    <n v="24.13"/>
    <n v="6"/>
    <n v="7.24"/>
    <n v="152.02000000000001"/>
    <x v="65"/>
    <s v="15:25"/>
    <s v="Ewallet"/>
    <n v="144.78"/>
    <n v="4.7618999999999998"/>
    <n v="7.24"/>
    <n v="5.8"/>
    <x v="65"/>
  </r>
  <r>
    <s v="B502-0502"/>
    <s v="B"/>
    <s v="Mandalay"/>
    <s v="Member"/>
    <s v="Male"/>
    <s v="Sports and travel"/>
    <n v="90.14"/>
    <n v="1"/>
    <n v="4.51"/>
    <n v="94.65"/>
    <x v="26"/>
    <s v="14:15"/>
    <s v="Cash"/>
    <n v="90.14"/>
    <n v="4.7618999999999998"/>
    <n v="4.51"/>
    <n v="6.1"/>
    <x v="26"/>
  </r>
  <r>
    <s v="C256-0503"/>
    <s v="C"/>
    <s v="Naypyitaw"/>
    <s v="Member"/>
    <s v="Female"/>
    <s v="Fashion accessories"/>
    <n v="44.4"/>
    <n v="10"/>
    <n v="22.2"/>
    <n v="466.2"/>
    <x v="58"/>
    <s v="20:15"/>
    <s v="Credit card"/>
    <n v="444"/>
    <n v="4.7618999999999998"/>
    <n v="22.2"/>
    <n v="5.4"/>
    <x v="58"/>
  </r>
  <r>
    <s v="B307-0504"/>
    <s v="B"/>
    <s v="Mandalay"/>
    <s v="Normal"/>
    <s v="Male"/>
    <s v="Sports and travel"/>
    <n v="58.8"/>
    <n v="4"/>
    <n v="11.76"/>
    <n v="246.96"/>
    <x v="62"/>
    <s v="12:45"/>
    <s v="Ewallet"/>
    <n v="235.2"/>
    <n v="4.7618999999999998"/>
    <n v="11.76"/>
    <n v="8.1"/>
    <x v="62"/>
  </r>
  <r>
    <s v="A645-0505"/>
    <s v="A"/>
    <s v="Yangon"/>
    <s v="Normal"/>
    <s v="Female"/>
    <s v="Sports and travel"/>
    <n v="99.61"/>
    <n v="3"/>
    <n v="14.94"/>
    <n v="313.77"/>
    <x v="62"/>
    <s v="19:10"/>
    <s v="Credit card"/>
    <n v="298.83"/>
    <n v="4.7618999999999998"/>
    <n v="14.94"/>
    <n v="4.4000000000000004"/>
    <x v="62"/>
  </r>
  <r>
    <s v="C863-0506"/>
    <s v="C"/>
    <s v="Naypyitaw"/>
    <s v="Member"/>
    <s v="Female"/>
    <s v="Home and lifestyle"/>
    <n v="85.56"/>
    <n v="3"/>
    <n v="12.83"/>
    <n v="269.51"/>
    <x v="49"/>
    <s v="15:30"/>
    <s v="Credit card"/>
    <n v="256.68"/>
    <n v="4.7618999999999998"/>
    <n v="12.83"/>
    <n v="5.8"/>
    <x v="49"/>
  </r>
  <r>
    <s v="C727-0507"/>
    <s v="C"/>
    <s v="Naypyitaw"/>
    <s v="Normal"/>
    <s v="Female"/>
    <s v="Electronic accessories"/>
    <n v="19.61"/>
    <n v="3"/>
    <n v="2.94"/>
    <n v="61.77"/>
    <x v="49"/>
    <s v="19:45"/>
    <s v="Credit card"/>
    <n v="58.83"/>
    <n v="4.7618999999999998"/>
    <n v="2.94"/>
    <n v="7.6"/>
    <x v="49"/>
  </r>
  <r>
    <s v="A580-0508"/>
    <s v="A"/>
    <s v="Yangon"/>
    <s v="Member"/>
    <s v="Female"/>
    <s v="Fashion accessories"/>
    <n v="12.35"/>
    <n v="2"/>
    <n v="1.24"/>
    <n v="25.94"/>
    <x v="81"/>
    <s v="17:10"/>
    <s v="Ewallet"/>
    <n v="24.7"/>
    <n v="4.7618999999999998"/>
    <n v="1.24"/>
    <n v="9.1"/>
    <x v="81"/>
  </r>
  <r>
    <s v="C115-0509"/>
    <s v="C"/>
    <s v="Naypyitaw"/>
    <s v="Normal"/>
    <s v="Female"/>
    <s v="Sports and travel"/>
    <n v="54.23"/>
    <n v="3"/>
    <n v="8.1300000000000008"/>
    <n v="170.82"/>
    <x v="2"/>
    <s v="13:15"/>
    <s v="Cash"/>
    <n v="162.69"/>
    <n v="4.7618999999999998"/>
    <n v="8.1300000000000008"/>
    <n v="6.5"/>
    <x v="2"/>
  </r>
  <r>
    <s v="B601-0510"/>
    <s v="B"/>
    <s v="Mandalay"/>
    <s v="Normal"/>
    <s v="Female"/>
    <s v="Fashion accessories"/>
    <n v="70.42"/>
    <n v="4"/>
    <n v="14.08"/>
    <n v="295.76"/>
    <x v="83"/>
    <s v="11:10"/>
    <s v="Credit card"/>
    <n v="281.68"/>
    <n v="4.7618999999999998"/>
    <n v="14.08"/>
    <n v="9.1999999999999993"/>
    <x v="83"/>
  </r>
  <r>
    <s v="C860-0511"/>
    <s v="C"/>
    <s v="Naypyitaw"/>
    <s v="Normal"/>
    <s v="Male"/>
    <s v="Electronic accessories"/>
    <n v="48.48"/>
    <n v="1"/>
    <n v="2.42"/>
    <n v="50.9"/>
    <x v="3"/>
    <s v="16:55"/>
    <s v="Credit card"/>
    <n v="48.48"/>
    <n v="4.7618999999999998"/>
    <n v="2.42"/>
    <n v="6.4"/>
    <x v="3"/>
  </r>
  <r>
    <s v="C140-0512"/>
    <s v="C"/>
    <s v="Naypyitaw"/>
    <s v="Member"/>
    <s v="Female"/>
    <s v="Sports and travel"/>
    <n v="51.12"/>
    <n v="1"/>
    <n v="2.56"/>
    <n v="53.68"/>
    <x v="40"/>
    <s v="18:40"/>
    <s v="Credit card"/>
    <n v="51.12"/>
    <n v="4.7618999999999998"/>
    <n v="2.56"/>
    <n v="9.9"/>
    <x v="40"/>
  </r>
  <r>
    <s v="C727-0513"/>
    <s v="C"/>
    <s v="Naypyitaw"/>
    <s v="Normal"/>
    <s v="Female"/>
    <s v="Electronic accessories"/>
    <n v="36.21"/>
    <n v="7"/>
    <n v="12.67"/>
    <n v="266.14"/>
    <x v="24"/>
    <s v="14:35"/>
    <s v="Cash"/>
    <n v="253.47"/>
    <n v="4.7618999999999998"/>
    <n v="12.67"/>
    <n v="6.5"/>
    <x v="24"/>
  </r>
  <r>
    <s v="A502-0514"/>
    <s v="A"/>
    <s v="Yangon"/>
    <s v="Member"/>
    <s v="Male"/>
    <s v="Fashion accessories"/>
    <n v="50.65"/>
    <n v="9"/>
    <n v="22.79"/>
    <n v="478.64"/>
    <x v="46"/>
    <s v="12:45"/>
    <s v="Ewallet"/>
    <n v="455.85"/>
    <n v="4.7618999999999998"/>
    <n v="22.79"/>
    <n v="7.3"/>
    <x v="46"/>
  </r>
  <r>
    <s v="B764-0515"/>
    <s v="B"/>
    <s v="Mandalay"/>
    <s v="Normal"/>
    <s v="Male"/>
    <s v="Health and beauty"/>
    <n v="26.1"/>
    <n v="10"/>
    <n v="13.05"/>
    <n v="274.05"/>
    <x v="30"/>
    <s v="17:05"/>
    <s v="Credit card"/>
    <n v="261"/>
    <n v="4.7618999999999998"/>
    <n v="13.05"/>
    <n v="5.9"/>
    <x v="30"/>
  </r>
  <r>
    <s v="C844-0516"/>
    <s v="C"/>
    <s v="Naypyitaw"/>
    <s v="Member"/>
    <s v="Female"/>
    <s v="Health and beauty"/>
    <n v="20.27"/>
    <n v="8"/>
    <n v="8.11"/>
    <n v="170.27"/>
    <x v="5"/>
    <s v="15:05"/>
    <s v="Ewallet"/>
    <n v="162.16"/>
    <n v="4.7618999999999998"/>
    <n v="8.11"/>
    <n v="8.1999999999999993"/>
    <x v="5"/>
  </r>
  <r>
    <s v="C248-0517"/>
    <s v="C"/>
    <s v="Naypyitaw"/>
    <s v="Member"/>
    <s v="Male"/>
    <s v="Food and beverages"/>
    <n v="44.25"/>
    <n v="3"/>
    <n v="6.64"/>
    <n v="139.38999999999999"/>
    <x v="51"/>
    <s v="19:50"/>
    <s v="Cash"/>
    <n v="132.75"/>
    <n v="4.7618999999999998"/>
    <n v="6.64"/>
    <n v="5"/>
    <x v="51"/>
  </r>
  <r>
    <s v="A307-0518"/>
    <s v="A"/>
    <s v="Yangon"/>
    <s v="Member"/>
    <s v="Male"/>
    <s v="Home and lifestyle"/>
    <n v="37.86"/>
    <n v="8"/>
    <n v="15.14"/>
    <n v="318.02"/>
    <x v="47"/>
    <s v="20:10"/>
    <s v="Cash"/>
    <n v="302.88"/>
    <n v="4.7618999999999998"/>
    <n v="15.14"/>
    <n v="9.4"/>
    <x v="47"/>
  </r>
  <r>
    <s v="A702-0519"/>
    <s v="A"/>
    <s v="Yangon"/>
    <s v="Normal"/>
    <s v="Female"/>
    <s v="Sports and travel"/>
    <n v="54.79"/>
    <n v="8"/>
    <n v="21.92"/>
    <n v="460.24"/>
    <x v="63"/>
    <s v="10:45"/>
    <s v="Credit card"/>
    <n v="438.32"/>
    <n v="4.7618999999999998"/>
    <n v="21.92"/>
    <n v="5.4"/>
    <x v="63"/>
  </r>
  <r>
    <s v="C743-0520"/>
    <s v="C"/>
    <s v="Naypyitaw"/>
    <s v="Normal"/>
    <s v="Male"/>
    <s v="Sports and travel"/>
    <n v="49.77"/>
    <n v="10"/>
    <n v="24.89"/>
    <n v="522.59"/>
    <x v="10"/>
    <s v="10:15"/>
    <s v="Ewallet"/>
    <n v="497.7"/>
    <n v="4.7618999999999998"/>
    <n v="24.89"/>
    <n v="5.7"/>
    <x v="10"/>
  </r>
  <r>
    <s v="C717-0521"/>
    <s v="C"/>
    <s v="Naypyitaw"/>
    <s v="Member"/>
    <s v="Female"/>
    <s v="Electronic accessories"/>
    <n v="23.34"/>
    <n v="6"/>
    <n v="7"/>
    <n v="147.04"/>
    <x v="52"/>
    <s v="12:00"/>
    <s v="Ewallet"/>
    <n v="140.04"/>
    <n v="4.7618999999999998"/>
    <n v="7"/>
    <n v="7.5"/>
    <x v="52"/>
  </r>
  <r>
    <s v="B816-0522"/>
    <s v="B"/>
    <s v="Mandalay"/>
    <s v="Normal"/>
    <s v="Female"/>
    <s v="Health and beauty"/>
    <n v="19.8"/>
    <n v="3"/>
    <n v="2.97"/>
    <n v="62.37"/>
    <x v="2"/>
    <s v="20:20"/>
    <s v="Ewallet"/>
    <n v="59.4"/>
    <n v="4.7618999999999998"/>
    <n v="2.97"/>
    <n v="8"/>
    <x v="2"/>
  </r>
  <r>
    <s v="C939-0523"/>
    <s v="C"/>
    <s v="Naypyitaw"/>
    <s v="Member"/>
    <s v="Male"/>
    <s v="Fashion accessories"/>
    <n v="62.11"/>
    <n v="1"/>
    <n v="3.11"/>
    <n v="65.22"/>
    <x v="19"/>
    <s v="14:25"/>
    <s v="Credit card"/>
    <n v="62.11"/>
    <n v="4.7618999999999998"/>
    <n v="3.11"/>
    <n v="9.4"/>
    <x v="19"/>
  </r>
  <r>
    <s v="A314-0524"/>
    <s v="A"/>
    <s v="Yangon"/>
    <s v="Normal"/>
    <s v="Female"/>
    <s v="Home and lifestyle"/>
    <n v="52.37"/>
    <n v="2"/>
    <n v="5.24"/>
    <n v="109.98"/>
    <x v="81"/>
    <s v="14:25"/>
    <s v="Ewallet"/>
    <n v="104.74"/>
    <n v="4.7618999999999998"/>
    <n v="5.24"/>
    <n v="6.5"/>
    <x v="81"/>
  </r>
  <r>
    <s v="C907-0525"/>
    <s v="C"/>
    <s v="Naypyitaw"/>
    <s v="Member"/>
    <s v="Female"/>
    <s v="Health and beauty"/>
    <n v="61.42"/>
    <n v="9"/>
    <n v="27.64"/>
    <n v="580.41999999999996"/>
    <x v="19"/>
    <s v="17:55"/>
    <s v="Ewallet"/>
    <n v="552.78"/>
    <n v="4.7618999999999998"/>
    <n v="27.64"/>
    <n v="7.6"/>
    <x v="19"/>
  </r>
  <r>
    <s v="C729-0526"/>
    <s v="C"/>
    <s v="Naypyitaw"/>
    <s v="Normal"/>
    <s v="Male"/>
    <s v="Food and beverages"/>
    <n v="86.3"/>
    <n v="5"/>
    <n v="21.58"/>
    <n v="453.08"/>
    <x v="70"/>
    <s v="19:45"/>
    <s v="Credit card"/>
    <n v="431.5"/>
    <n v="4.7618999999999998"/>
    <n v="21.58"/>
    <n v="9.6"/>
    <x v="70"/>
  </r>
  <r>
    <s v="C576-0527"/>
    <s v="C"/>
    <s v="Naypyitaw"/>
    <s v="Normal"/>
    <s v="Male"/>
    <s v="Sports and travel"/>
    <n v="82.72"/>
    <n v="10"/>
    <n v="41.36"/>
    <n v="868.56"/>
    <x v="57"/>
    <s v="14:15"/>
    <s v="Cash"/>
    <n v="827.2"/>
    <n v="4.7618999999999998"/>
    <n v="41.36"/>
    <n v="4.7"/>
    <x v="57"/>
  </r>
  <r>
    <s v="C317-0528"/>
    <s v="C"/>
    <s v="Naypyitaw"/>
    <s v="Member"/>
    <s v="Female"/>
    <s v="Food and beverages"/>
    <n v="99.91"/>
    <n v="7"/>
    <n v="34.97"/>
    <n v="734.34"/>
    <x v="55"/>
    <s v="15:25"/>
    <s v="Ewallet"/>
    <n v="699.37"/>
    <n v="4.7618999999999998"/>
    <n v="34.97"/>
    <n v="8.8000000000000007"/>
    <x v="55"/>
  </r>
  <r>
    <s v="A216-0529"/>
    <s v="A"/>
    <s v="Yangon"/>
    <s v="Member"/>
    <s v="Male"/>
    <s v="Home and lifestyle"/>
    <n v="81.12"/>
    <n v="5"/>
    <n v="20.28"/>
    <n v="425.88"/>
    <x v="24"/>
    <s v="18:40"/>
    <s v="Credit card"/>
    <n v="405.6"/>
    <n v="4.7618999999999998"/>
    <n v="20.28"/>
    <n v="8.6"/>
    <x v="24"/>
  </r>
  <r>
    <s v="C788-0530"/>
    <s v="C"/>
    <s v="Naypyitaw"/>
    <s v="Normal"/>
    <s v="Male"/>
    <s v="Sports and travel"/>
    <n v="75.2"/>
    <n v="10"/>
    <n v="37.6"/>
    <n v="789.6"/>
    <x v="49"/>
    <s v="12:15"/>
    <s v="Credit card"/>
    <n v="752"/>
    <n v="4.7618999999999998"/>
    <n v="37.6"/>
    <n v="9"/>
    <x v="49"/>
  </r>
  <r>
    <s v="B933-0531"/>
    <s v="B"/>
    <s v="Mandalay"/>
    <s v="Normal"/>
    <s v="Female"/>
    <s v="Fashion accessories"/>
    <n v="22.22"/>
    <n v="3"/>
    <n v="3.33"/>
    <n v="69.989999999999995"/>
    <x v="58"/>
    <s v="17:40"/>
    <s v="Credit card"/>
    <n v="66.66"/>
    <n v="4.7618999999999998"/>
    <n v="3.33"/>
    <n v="6.8"/>
    <x v="58"/>
  </r>
  <r>
    <s v="B439-0532"/>
    <s v="B"/>
    <s v="Mandalay"/>
    <s v="Member"/>
    <s v="Male"/>
    <s v="Food and beverages"/>
    <n v="75.25"/>
    <n v="6"/>
    <n v="22.58"/>
    <n v="474.08"/>
    <x v="26"/>
    <s v="18:00"/>
    <s v="Cash"/>
    <n v="451.5"/>
    <n v="4.7618999999999998"/>
    <n v="22.58"/>
    <n v="7.5"/>
    <x v="26"/>
  </r>
  <r>
    <s v="B498-0533"/>
    <s v="B"/>
    <s v="Mandalay"/>
    <s v="Member"/>
    <s v="Female"/>
    <s v="Home and lifestyle"/>
    <n v="85.67"/>
    <n v="6"/>
    <n v="25.7"/>
    <n v="539.72"/>
    <x v="79"/>
    <s v="20:40"/>
    <s v="Cash"/>
    <n v="514.02"/>
    <n v="4.7618999999999998"/>
    <n v="25.7"/>
    <n v="7.4"/>
    <x v="79"/>
  </r>
  <r>
    <s v="A480-0534"/>
    <s v="A"/>
    <s v="Yangon"/>
    <s v="Member"/>
    <s v="Male"/>
    <s v="Fashion accessories"/>
    <n v="87.2"/>
    <n v="1"/>
    <n v="4.3600000000000003"/>
    <n v="91.56"/>
    <x v="48"/>
    <s v="16:05"/>
    <s v="Credit card"/>
    <n v="87.2"/>
    <n v="4.7618999999999998"/>
    <n v="4.3600000000000003"/>
    <n v="9.3000000000000007"/>
    <x v="48"/>
  </r>
  <r>
    <s v="B125-0535"/>
    <s v="B"/>
    <s v="Mandalay"/>
    <s v="Normal"/>
    <s v="Female"/>
    <s v="Food and beverages"/>
    <n v="37.21"/>
    <n v="2"/>
    <n v="3.72"/>
    <n v="78.14"/>
    <x v="67"/>
    <s v="10:15"/>
    <s v="Cash"/>
    <n v="74.42"/>
    <n v="4.7618999999999998"/>
    <n v="3.72"/>
    <n v="6.7"/>
    <x v="67"/>
  </r>
  <r>
    <s v="B628-0536"/>
    <s v="B"/>
    <s v="Mandalay"/>
    <s v="Member"/>
    <s v="Female"/>
    <s v="Home and lifestyle"/>
    <n v="93.13"/>
    <n v="9"/>
    <n v="41.91"/>
    <n v="880.08"/>
    <x v="12"/>
    <s v="15:10"/>
    <s v="Cash"/>
    <n v="838.17"/>
    <n v="4.7618999999999998"/>
    <n v="41.91"/>
    <n v="8.9"/>
    <x v="12"/>
  </r>
  <r>
    <s v="C803-0537"/>
    <s v="C"/>
    <s v="Naypyitaw"/>
    <s v="Member"/>
    <s v="Female"/>
    <s v="Fashion accessories"/>
    <n v="13.29"/>
    <n v="7"/>
    <n v="4.6500000000000004"/>
    <n v="97.68"/>
    <x v="72"/>
    <s v="11:00"/>
    <s v="Credit card"/>
    <n v="93.03"/>
    <n v="4.7618999999999998"/>
    <n v="4.6500000000000004"/>
    <n v="9.6"/>
    <x v="72"/>
  </r>
  <r>
    <s v="C876-0538"/>
    <s v="C"/>
    <s v="Naypyitaw"/>
    <s v="Member"/>
    <s v="Male"/>
    <s v="Sports and travel"/>
    <n v="90.03"/>
    <n v="2"/>
    <n v="9"/>
    <n v="189.06"/>
    <x v="72"/>
    <s v="20:55"/>
    <s v="Credit card"/>
    <n v="180.06"/>
    <n v="4.7618999999999998"/>
    <n v="9"/>
    <n v="4.0999999999999996"/>
    <x v="72"/>
  </r>
  <r>
    <s v="B252-0539"/>
    <s v="B"/>
    <s v="Mandalay"/>
    <s v="Member"/>
    <s v="Male"/>
    <s v="Electronic accessories"/>
    <n v="27.33"/>
    <n v="5"/>
    <n v="6.83"/>
    <n v="143.47999999999999"/>
    <x v="71"/>
    <s v="15:35"/>
    <s v="Ewallet"/>
    <n v="136.65"/>
    <n v="4.7618999999999998"/>
    <n v="6.83"/>
    <n v="4.7"/>
    <x v="71"/>
  </r>
  <r>
    <s v="A426-0540"/>
    <s v="A"/>
    <s v="Yangon"/>
    <s v="Normal"/>
    <s v="Female"/>
    <s v="Health and beauty"/>
    <n v="96.25"/>
    <n v="9"/>
    <n v="43.31"/>
    <n v="909.56"/>
    <x v="9"/>
    <s v="11:15"/>
    <s v="Ewallet"/>
    <n v="866.25"/>
    <n v="4.7618999999999998"/>
    <n v="43.31"/>
    <n v="6.1"/>
    <x v="9"/>
  </r>
  <r>
    <s v="B233-0541"/>
    <s v="B"/>
    <s v="Mandalay"/>
    <s v="Member"/>
    <s v="Male"/>
    <s v="Food and beverages"/>
    <n v="32.03"/>
    <n v="2"/>
    <n v="3.2"/>
    <n v="67.260000000000005"/>
    <x v="12"/>
    <s v="19:25"/>
    <s v="Ewallet"/>
    <n v="64.06"/>
    <n v="4.7618999999999998"/>
    <n v="3.2"/>
    <n v="6.7"/>
    <x v="12"/>
  </r>
  <r>
    <s v="A706-0542"/>
    <s v="A"/>
    <s v="Yangon"/>
    <s v="Normal"/>
    <s v="Female"/>
    <s v="Health and beauty"/>
    <n v="44.52"/>
    <n v="2"/>
    <n v="4.45"/>
    <n v="93.49"/>
    <x v="84"/>
    <s v="16:10"/>
    <s v="Ewallet"/>
    <n v="89.04"/>
    <n v="4.7618999999999998"/>
    <n v="4.45"/>
    <n v="7.6"/>
    <x v="84"/>
  </r>
  <r>
    <s v="C195-0543"/>
    <s v="C"/>
    <s v="Naypyitaw"/>
    <s v="Normal"/>
    <s v="Male"/>
    <s v="Home and lifestyle"/>
    <n v="39.909999999999997"/>
    <n v="4"/>
    <n v="7.98"/>
    <n v="167.62"/>
    <x v="23"/>
    <s v="18:05"/>
    <s v="Credit card"/>
    <n v="159.63999999999999"/>
    <n v="4.7618999999999998"/>
    <n v="7.98"/>
    <n v="7.4"/>
    <x v="23"/>
  </r>
  <r>
    <s v="C731-0544"/>
    <s v="C"/>
    <s v="Naypyitaw"/>
    <s v="Normal"/>
    <s v="Female"/>
    <s v="Sports and travel"/>
    <n v="37.94"/>
    <n v="8"/>
    <n v="15.18"/>
    <n v="318.7"/>
    <x v="50"/>
    <s v="13:15"/>
    <s v="Cash"/>
    <n v="303.52"/>
    <n v="4.7618999999999998"/>
    <n v="15.18"/>
    <n v="9.1999999999999993"/>
    <x v="50"/>
  </r>
  <r>
    <s v="B215-0545"/>
    <s v="B"/>
    <s v="Mandalay"/>
    <s v="Normal"/>
    <s v="Male"/>
    <s v="Electronic accessories"/>
    <n v="72.97"/>
    <n v="6"/>
    <n v="21.89"/>
    <n v="459.71"/>
    <x v="59"/>
    <s v="17:35"/>
    <s v="Cash"/>
    <n v="437.82"/>
    <n v="4.7618999999999998"/>
    <n v="21.89"/>
    <n v="4.4000000000000004"/>
    <x v="59"/>
  </r>
  <r>
    <s v="B937-0546"/>
    <s v="B"/>
    <s v="Mandalay"/>
    <s v="Normal"/>
    <s v="Male"/>
    <s v="Electronic accessories"/>
    <n v="35.4"/>
    <n v="6"/>
    <n v="10.62"/>
    <n v="223.02"/>
    <x v="3"/>
    <s v="19:10"/>
    <s v="Ewallet"/>
    <n v="212.4"/>
    <n v="4.7618999999999998"/>
    <n v="10.62"/>
    <n v="4.5999999999999996"/>
    <x v="3"/>
  </r>
  <r>
    <s v="C735-0547"/>
    <s v="C"/>
    <s v="Naypyitaw"/>
    <s v="Member"/>
    <s v="Male"/>
    <s v="Food and beverages"/>
    <n v="68.45"/>
    <n v="5"/>
    <n v="17.11"/>
    <n v="359.36"/>
    <x v="71"/>
    <s v="17:30"/>
    <s v="Ewallet"/>
    <n v="342.25"/>
    <n v="4.7618999999999998"/>
    <n v="17.11"/>
    <n v="6.5"/>
    <x v="71"/>
  </r>
  <r>
    <s v="A450-0548"/>
    <s v="A"/>
    <s v="Yangon"/>
    <s v="Member"/>
    <s v="Male"/>
    <s v="Sports and travel"/>
    <n v="15.95"/>
    <n v="4"/>
    <n v="3.19"/>
    <n v="66.989999999999995"/>
    <x v="81"/>
    <s v="19:30"/>
    <s v="Credit card"/>
    <n v="63.8"/>
    <n v="4.7618999999999998"/>
    <n v="3.19"/>
    <n v="7.4"/>
    <x v="81"/>
  </r>
  <r>
    <s v="C668-0549"/>
    <s v="C"/>
    <s v="Naypyitaw"/>
    <s v="Member"/>
    <s v="Female"/>
    <s v="Fashion accessories"/>
    <n v="70.260000000000005"/>
    <n v="10"/>
    <n v="35.130000000000003"/>
    <n v="737.73"/>
    <x v="44"/>
    <s v="11:45"/>
    <s v="Ewallet"/>
    <n v="702.6"/>
    <n v="4.7618999999999998"/>
    <n v="35.130000000000003"/>
    <n v="6.8"/>
    <x v="44"/>
  </r>
  <r>
    <s v="A488-0550"/>
    <s v="A"/>
    <s v="Yangon"/>
    <s v="Normal"/>
    <s v="Female"/>
    <s v="Home and lifestyle"/>
    <n v="96.03"/>
    <n v="2"/>
    <n v="9.6"/>
    <n v="201.66"/>
    <x v="10"/>
    <s v="11:50"/>
    <s v="Ewallet"/>
    <n v="192.06"/>
    <n v="4.7618999999999998"/>
    <n v="9.6"/>
    <n v="8.6"/>
    <x v="10"/>
  </r>
  <r>
    <s v="B563-0551"/>
    <s v="B"/>
    <s v="Mandalay"/>
    <s v="Normal"/>
    <s v="Female"/>
    <s v="Health and beauty"/>
    <n v="29.59"/>
    <n v="3"/>
    <n v="4.4400000000000004"/>
    <n v="93.21"/>
    <x v="21"/>
    <s v="20:00"/>
    <s v="Cash"/>
    <n v="88.77"/>
    <n v="4.7618999999999998"/>
    <n v="4.4400000000000004"/>
    <n v="8"/>
    <x v="21"/>
  </r>
  <r>
    <s v="C795-0552"/>
    <s v="C"/>
    <s v="Naypyitaw"/>
    <s v="Normal"/>
    <s v="Male"/>
    <s v="Food and beverages"/>
    <n v="62.01"/>
    <n v="4"/>
    <n v="12.4"/>
    <n v="260.44"/>
    <x v="83"/>
    <s v="20:25"/>
    <s v="Credit card"/>
    <n v="248.04"/>
    <n v="4.7618999999999998"/>
    <n v="12.4"/>
    <n v="7.4"/>
    <x v="83"/>
  </r>
  <r>
    <s v="B662-0553"/>
    <s v="B"/>
    <s v="Mandalay"/>
    <s v="Normal"/>
    <s v="Male"/>
    <s v="Health and beauty"/>
    <n v="62.45"/>
    <n v="10"/>
    <n v="31.23"/>
    <n v="655.73"/>
    <x v="9"/>
    <s v="16:10"/>
    <s v="Credit card"/>
    <n v="624.5"/>
    <n v="4.7618999999999998"/>
    <n v="31.23"/>
    <n v="4.4000000000000004"/>
    <x v="9"/>
  </r>
  <r>
    <s v="A425-0554"/>
    <s v="A"/>
    <s v="Yangon"/>
    <s v="Member"/>
    <s v="Male"/>
    <s v="Health and beauty"/>
    <n v="87.51"/>
    <n v="1"/>
    <n v="4.38"/>
    <n v="91.89"/>
    <x v="35"/>
    <s v="16:55"/>
    <s v="Ewallet"/>
    <n v="87.51"/>
    <n v="4.7618999999999998"/>
    <n v="4.38"/>
    <n v="6.4"/>
    <x v="35"/>
  </r>
  <r>
    <s v="C493-0555"/>
    <s v="C"/>
    <s v="Naypyitaw"/>
    <s v="Normal"/>
    <s v="Male"/>
    <s v="Sports and travel"/>
    <n v="49.17"/>
    <n v="4"/>
    <n v="9.83"/>
    <n v="206.51"/>
    <x v="13"/>
    <s v="12:35"/>
    <s v="Cash"/>
    <n v="196.68"/>
    <n v="4.7618999999999998"/>
    <n v="9.83"/>
    <n v="5.0999999999999996"/>
    <x v="13"/>
  </r>
  <r>
    <s v="B838-0556"/>
    <s v="B"/>
    <s v="Mandalay"/>
    <s v="Normal"/>
    <s v="Female"/>
    <s v="Home and lifestyle"/>
    <n v="99.77"/>
    <n v="3"/>
    <n v="14.97"/>
    <n v="314.27999999999997"/>
    <x v="0"/>
    <s v="10:05"/>
    <s v="Ewallet"/>
    <n v="299.31"/>
    <n v="4.7618999999999998"/>
    <n v="14.97"/>
    <n v="4.0999999999999996"/>
    <x v="0"/>
  </r>
  <r>
    <s v="B621-0557"/>
    <s v="B"/>
    <s v="Mandalay"/>
    <s v="Normal"/>
    <s v="Female"/>
    <s v="Health and beauty"/>
    <n v="22.35"/>
    <n v="7"/>
    <n v="7.82"/>
    <n v="164.27"/>
    <x v="45"/>
    <s v="19:30"/>
    <s v="Ewallet"/>
    <n v="156.44999999999999"/>
    <n v="4.7618999999999998"/>
    <n v="7.82"/>
    <n v="5.0999999999999996"/>
    <x v="45"/>
  </r>
  <r>
    <s v="B342-0558"/>
    <s v="B"/>
    <s v="Mandalay"/>
    <s v="Normal"/>
    <s v="Male"/>
    <s v="Home and lifestyle"/>
    <n v="30.32"/>
    <n v="7"/>
    <n v="10.61"/>
    <n v="222.85"/>
    <x v="3"/>
    <s v="10:45"/>
    <s v="Credit card"/>
    <n v="212.24"/>
    <n v="4.7618999999999998"/>
    <n v="10.61"/>
    <n v="9.1"/>
    <x v="3"/>
  </r>
  <r>
    <s v="C694-0559"/>
    <s v="C"/>
    <s v="Naypyitaw"/>
    <s v="Normal"/>
    <s v="Male"/>
    <s v="Food and beverages"/>
    <n v="61.87"/>
    <n v="1"/>
    <n v="3.09"/>
    <n v="64.959999999999994"/>
    <x v="52"/>
    <s v="19:35"/>
    <s v="Ewallet"/>
    <n v="61.87"/>
    <n v="4.7618999999999998"/>
    <n v="3.09"/>
    <n v="6.2"/>
    <x v="52"/>
  </r>
  <r>
    <s v="B190-0560"/>
    <s v="B"/>
    <s v="Mandalay"/>
    <s v="Member"/>
    <s v="Female"/>
    <s v="Fashion accessories"/>
    <n v="75.819999999999993"/>
    <n v="5"/>
    <n v="18.96"/>
    <n v="398.06"/>
    <x v="6"/>
    <s v="18:05"/>
    <s v="Ewallet"/>
    <n v="379.1"/>
    <n v="4.7618999999999998"/>
    <n v="18.96"/>
    <n v="9.3000000000000007"/>
    <x v="6"/>
  </r>
  <r>
    <s v="A111-0561"/>
    <s v="A"/>
    <s v="Yangon"/>
    <s v="Normal"/>
    <s v="Female"/>
    <s v="Fashion accessories"/>
    <n v="67.03"/>
    <n v="10"/>
    <n v="33.520000000000003"/>
    <n v="703.82"/>
    <x v="12"/>
    <s v="19:00"/>
    <s v="Credit card"/>
    <n v="670.3"/>
    <n v="4.7618999999999998"/>
    <n v="33.520000000000003"/>
    <n v="7.2"/>
    <x v="12"/>
  </r>
  <r>
    <s v="B711-0562"/>
    <s v="B"/>
    <s v="Mandalay"/>
    <s v="Normal"/>
    <s v="Male"/>
    <s v="Food and beverages"/>
    <n v="76.040000000000006"/>
    <n v="7"/>
    <n v="26.61"/>
    <n v="558.89"/>
    <x v="28"/>
    <s v="14:20"/>
    <s v="Cash"/>
    <n v="532.28"/>
    <n v="4.7618999999999998"/>
    <n v="26.61"/>
    <n v="4.2"/>
    <x v="28"/>
  </r>
  <r>
    <s v="C928-0563"/>
    <s v="C"/>
    <s v="Naypyitaw"/>
    <s v="Normal"/>
    <s v="Male"/>
    <s v="Health and beauty"/>
    <n v="66.64"/>
    <n v="10"/>
    <n v="33.32"/>
    <n v="699.72"/>
    <x v="38"/>
    <s v="19:00"/>
    <s v="Ewallet"/>
    <n v="666.4"/>
    <n v="4.7618999999999998"/>
    <n v="33.32"/>
    <n v="9.9"/>
    <x v="38"/>
  </r>
  <r>
    <s v="C381-0564"/>
    <s v="C"/>
    <s v="Naypyitaw"/>
    <s v="Member"/>
    <s v="Male"/>
    <s v="Sports and travel"/>
    <n v="17.43"/>
    <n v="9"/>
    <n v="7.84"/>
    <n v="164.71"/>
    <x v="15"/>
    <s v="14:20"/>
    <s v="Cash"/>
    <n v="156.87"/>
    <n v="4.7618999999999998"/>
    <n v="7.84"/>
    <n v="7.7"/>
    <x v="15"/>
  </r>
  <r>
    <s v="B367-0565"/>
    <s v="B"/>
    <s v="Mandalay"/>
    <s v="Member"/>
    <s v="Female"/>
    <s v="Food and beverages"/>
    <n v="25.72"/>
    <n v="10"/>
    <n v="12.86"/>
    <n v="270.06"/>
    <x v="82"/>
    <s v="20:35"/>
    <s v="Credit card"/>
    <n v="257.2"/>
    <n v="4.7618999999999998"/>
    <n v="12.86"/>
    <n v="8.8000000000000007"/>
    <x v="82"/>
  </r>
  <r>
    <s v="C257-0566"/>
    <s v="C"/>
    <s v="Naypyitaw"/>
    <s v="Member"/>
    <s v="Male"/>
    <s v="Electronic accessories"/>
    <n v="81.94"/>
    <n v="1"/>
    <n v="4.0999999999999996"/>
    <n v="86.04"/>
    <x v="54"/>
    <s v="11:10"/>
    <s v="Ewallet"/>
    <n v="81.94"/>
    <n v="4.7618999999999998"/>
    <n v="4.0999999999999996"/>
    <n v="9.6"/>
    <x v="54"/>
  </r>
  <r>
    <s v="B370-0567"/>
    <s v="B"/>
    <s v="Mandalay"/>
    <s v="Normal"/>
    <s v="Male"/>
    <s v="Electronic accessories"/>
    <n v="69.459999999999994"/>
    <n v="3"/>
    <n v="10.42"/>
    <n v="218.8"/>
    <x v="83"/>
    <s v="19:55"/>
    <s v="Credit card"/>
    <n v="208.38"/>
    <n v="4.7618999999999998"/>
    <n v="10.42"/>
    <n v="4.3"/>
    <x v="83"/>
  </r>
  <r>
    <s v="A499-0568"/>
    <s v="A"/>
    <s v="Yangon"/>
    <s v="Member"/>
    <s v="Female"/>
    <s v="Sports and travel"/>
    <n v="45.89"/>
    <n v="5"/>
    <n v="11.47"/>
    <n v="240.92"/>
    <x v="50"/>
    <s v="18:15"/>
    <s v="Credit card"/>
    <n v="229.45"/>
    <n v="4.7618999999999998"/>
    <n v="11.47"/>
    <n v="8.1"/>
    <x v="50"/>
  </r>
  <r>
    <s v="B642-0569"/>
    <s v="B"/>
    <s v="Mandalay"/>
    <s v="Normal"/>
    <s v="Female"/>
    <s v="Food and beverages"/>
    <n v="88.32"/>
    <n v="1"/>
    <n v="4.42"/>
    <n v="92.74"/>
    <x v="47"/>
    <s v="17:30"/>
    <s v="Ewallet"/>
    <n v="88.32"/>
    <n v="4.7618999999999998"/>
    <n v="4.42"/>
    <n v="5.9"/>
    <x v="47"/>
  </r>
  <r>
    <s v="C921-0570"/>
    <s v="C"/>
    <s v="Naypyitaw"/>
    <s v="Member"/>
    <s v="Female"/>
    <s v="Food and beverages"/>
    <n v="67.37"/>
    <n v="7"/>
    <n v="23.58"/>
    <n v="495.17"/>
    <x v="43"/>
    <s v="20:20"/>
    <s v="Credit card"/>
    <n v="471.59"/>
    <n v="4.7618999999999998"/>
    <n v="23.58"/>
    <n v="5.6"/>
    <x v="43"/>
  </r>
  <r>
    <s v="A806-0571"/>
    <s v="A"/>
    <s v="Yangon"/>
    <s v="Normal"/>
    <s v="Male"/>
    <s v="Sports and travel"/>
    <n v="79.58"/>
    <n v="4"/>
    <n v="15.92"/>
    <n v="334.24"/>
    <x v="61"/>
    <s v="19:15"/>
    <s v="Ewallet"/>
    <n v="318.32"/>
    <n v="4.7618999999999998"/>
    <n v="15.92"/>
    <n v="6"/>
    <x v="61"/>
  </r>
  <r>
    <s v="A556-0572"/>
    <s v="A"/>
    <s v="Yangon"/>
    <s v="Normal"/>
    <s v="Female"/>
    <s v="Fashion accessories"/>
    <n v="10.76"/>
    <n v="2"/>
    <n v="1.08"/>
    <n v="22.6"/>
    <x v="77"/>
    <s v="16:05"/>
    <s v="Ewallet"/>
    <n v="21.52"/>
    <n v="4.7618999999999998"/>
    <n v="1.08"/>
    <n v="4.5999999999999996"/>
    <x v="77"/>
  </r>
  <r>
    <s v="B955-0573"/>
    <s v="B"/>
    <s v="Mandalay"/>
    <s v="Member"/>
    <s v="Male"/>
    <s v="Home and lifestyle"/>
    <n v="27.38"/>
    <n v="1"/>
    <n v="1.37"/>
    <n v="28.75"/>
    <x v="34"/>
    <s v="11:00"/>
    <s v="Ewallet"/>
    <n v="27.38"/>
    <n v="4.7618999999999998"/>
    <n v="1.37"/>
    <n v="7.9"/>
    <x v="34"/>
  </r>
  <r>
    <s v="A289-0574"/>
    <s v="A"/>
    <s v="Yangon"/>
    <s v="Member"/>
    <s v="Female"/>
    <s v="Health and beauty"/>
    <n v="87.08"/>
    <n v="3"/>
    <n v="13.06"/>
    <n v="274.3"/>
    <x v="79"/>
    <s v="20:50"/>
    <s v="Ewallet"/>
    <n v="261.24"/>
    <n v="4.7618999999999998"/>
    <n v="13.06"/>
    <n v="8.8000000000000007"/>
    <x v="79"/>
  </r>
  <r>
    <s v="A783-0575"/>
    <s v="A"/>
    <s v="Yangon"/>
    <s v="Member"/>
    <s v="Male"/>
    <s v="Home and lifestyle"/>
    <n v="52.03"/>
    <n v="2"/>
    <n v="5.2"/>
    <n v="109.26"/>
    <x v="5"/>
    <s v="17:20"/>
    <s v="Credit card"/>
    <n v="104.06"/>
    <n v="4.7618999999999998"/>
    <n v="5.2"/>
    <n v="8.1999999999999993"/>
    <x v="5"/>
  </r>
  <r>
    <s v="B932-0576"/>
    <s v="B"/>
    <s v="Mandalay"/>
    <s v="Normal"/>
    <s v="Female"/>
    <s v="Health and beauty"/>
    <n v="34.96"/>
    <n v="1"/>
    <n v="1.75"/>
    <n v="36.71"/>
    <x v="79"/>
    <s v="16:25"/>
    <s v="Cash"/>
    <n v="34.96"/>
    <n v="4.7618999999999998"/>
    <n v="1.75"/>
    <n v="5.5"/>
    <x v="79"/>
  </r>
  <r>
    <s v="B247-0577"/>
    <s v="B"/>
    <s v="Mandalay"/>
    <s v="Member"/>
    <s v="Male"/>
    <s v="Health and beauty"/>
    <n v="54.25"/>
    <n v="4"/>
    <n v="10.85"/>
    <n v="227.85"/>
    <x v="43"/>
    <s v="16:10"/>
    <s v="Ewallet"/>
    <n v="217"/>
    <n v="4.7618999999999998"/>
    <n v="10.85"/>
    <n v="7"/>
    <x v="43"/>
  </r>
  <r>
    <s v="C845-0578"/>
    <s v="C"/>
    <s v="Naypyitaw"/>
    <s v="Normal"/>
    <s v="Female"/>
    <s v="Food and beverages"/>
    <n v="67.900000000000006"/>
    <n v="8"/>
    <n v="27.16"/>
    <n v="570.36"/>
    <x v="20"/>
    <s v="11:00"/>
    <s v="Cash"/>
    <n v="543.20000000000005"/>
    <n v="4.7618999999999998"/>
    <n v="27.16"/>
    <n v="4.4000000000000004"/>
    <x v="20"/>
  </r>
  <r>
    <s v="B437-0579"/>
    <s v="B"/>
    <s v="Mandalay"/>
    <s v="Normal"/>
    <s v="Female"/>
    <s v="Sports and travel"/>
    <n v="23.4"/>
    <n v="1"/>
    <n v="1.17"/>
    <n v="24.57"/>
    <x v="52"/>
    <s v="20:30"/>
    <s v="Credit card"/>
    <n v="23.4"/>
    <n v="4.7618999999999998"/>
    <n v="1.17"/>
    <n v="4.9000000000000004"/>
    <x v="52"/>
  </r>
  <r>
    <s v="B937-0580"/>
    <s v="B"/>
    <s v="Mandalay"/>
    <s v="Member"/>
    <s v="Male"/>
    <s v="Sports and travel"/>
    <n v="49.25"/>
    <n v="2"/>
    <n v="4.93"/>
    <n v="103.43"/>
    <x v="63"/>
    <s v="13:00"/>
    <s v="Credit card"/>
    <n v="98.5"/>
    <n v="4.7618999999999998"/>
    <n v="4.93"/>
    <n v="9.6999999999999993"/>
    <x v="63"/>
  </r>
  <r>
    <s v="B973-0581"/>
    <s v="B"/>
    <s v="Mandalay"/>
    <s v="Member"/>
    <s v="Male"/>
    <s v="Home and lifestyle"/>
    <n v="71.37"/>
    <n v="7"/>
    <n v="24.98"/>
    <n v="524.57000000000005"/>
    <x v="17"/>
    <s v="20:50"/>
    <s v="Cash"/>
    <n v="499.59"/>
    <n v="4.7618999999999998"/>
    <n v="24.98"/>
    <n v="6.2"/>
    <x v="17"/>
  </r>
  <r>
    <s v="B812-0582"/>
    <s v="B"/>
    <s v="Mandalay"/>
    <s v="Member"/>
    <s v="Male"/>
    <s v="Home and lifestyle"/>
    <n v="68.3"/>
    <n v="3"/>
    <n v="10.25"/>
    <n v="215.15"/>
    <x v="25"/>
    <s v="10:30"/>
    <s v="Ewallet"/>
    <n v="204.9"/>
    <n v="4.7618999999999998"/>
    <n v="10.25"/>
    <n v="5.0999999999999996"/>
    <x v="25"/>
  </r>
  <r>
    <s v="B707-0583"/>
    <s v="B"/>
    <s v="Mandalay"/>
    <s v="Member"/>
    <s v="Male"/>
    <s v="Sports and travel"/>
    <n v="17.64"/>
    <n v="8"/>
    <n v="7.06"/>
    <n v="148.18"/>
    <x v="16"/>
    <s v="12:00"/>
    <s v="Cash"/>
    <n v="141.12"/>
    <n v="4.7618999999999998"/>
    <n v="7.06"/>
    <n v="4.2"/>
    <x v="16"/>
  </r>
  <r>
    <s v="A157-0584"/>
    <s v="A"/>
    <s v="Yangon"/>
    <s v="Normal"/>
    <s v="Male"/>
    <s v="Health and beauty"/>
    <n v="81.349999999999994"/>
    <n v="5"/>
    <n v="20.34"/>
    <n v="427.09"/>
    <x v="85"/>
    <s v="18:35"/>
    <s v="Cash"/>
    <n v="406.75"/>
    <n v="4.7618999999999998"/>
    <n v="20.34"/>
    <n v="4.2"/>
    <x v="85"/>
  </r>
  <r>
    <s v="B338-0585"/>
    <s v="B"/>
    <s v="Mandalay"/>
    <s v="Member"/>
    <s v="Male"/>
    <s v="Health and beauty"/>
    <n v="29.05"/>
    <n v="9"/>
    <n v="13.07"/>
    <n v="274.52"/>
    <x v="45"/>
    <s v="20:40"/>
    <s v="Cash"/>
    <n v="261.45"/>
    <n v="4.7618999999999998"/>
    <n v="13.07"/>
    <n v="8.4"/>
    <x v="45"/>
  </r>
  <r>
    <s v="A114-0586"/>
    <s v="A"/>
    <s v="Yangon"/>
    <s v="Member"/>
    <s v="Female"/>
    <s v="Sports and travel"/>
    <n v="68.84"/>
    <n v="8"/>
    <n v="27.54"/>
    <n v="578.26"/>
    <x v="34"/>
    <s v="10:15"/>
    <s v="Ewallet"/>
    <n v="550.72"/>
    <n v="4.7618999999999998"/>
    <n v="27.54"/>
    <n v="7.9"/>
    <x v="34"/>
  </r>
  <r>
    <s v="A918-0587"/>
    <s v="A"/>
    <s v="Yangon"/>
    <s v="Member"/>
    <s v="Male"/>
    <s v="Health and beauty"/>
    <n v="51.06"/>
    <n v="3"/>
    <n v="7.66"/>
    <n v="160.84"/>
    <x v="14"/>
    <s v="11:05"/>
    <s v="Cash"/>
    <n v="153.18"/>
    <n v="4.7618999999999998"/>
    <n v="7.66"/>
    <n v="7"/>
    <x v="14"/>
  </r>
  <r>
    <s v="C429-0588"/>
    <s v="C"/>
    <s v="Naypyitaw"/>
    <s v="Member"/>
    <s v="Female"/>
    <s v="Electronic accessories"/>
    <n v="48.36"/>
    <n v="7"/>
    <n v="16.93"/>
    <n v="355.45"/>
    <x v="59"/>
    <s v="11:50"/>
    <s v="Ewallet"/>
    <n v="338.52"/>
    <n v="4.7618999999999998"/>
    <n v="16.93"/>
    <n v="7.3"/>
    <x v="59"/>
  </r>
  <r>
    <s v="A268-0589"/>
    <s v="A"/>
    <s v="Yangon"/>
    <s v="Member"/>
    <s v="Female"/>
    <s v="Home and lifestyle"/>
    <n v="15.69"/>
    <n v="5"/>
    <n v="3.92"/>
    <n v="82.37"/>
    <x v="8"/>
    <s v="16:10"/>
    <s v="Ewallet"/>
    <n v="78.45"/>
    <n v="4.7618999999999998"/>
    <n v="3.92"/>
    <n v="6.2"/>
    <x v="8"/>
  </r>
  <r>
    <s v="B107-0590"/>
    <s v="B"/>
    <s v="Mandalay"/>
    <s v="Member"/>
    <s v="Female"/>
    <s v="Electronic accessories"/>
    <n v="19"/>
    <n v="10"/>
    <n v="9.5"/>
    <n v="199.5"/>
    <x v="79"/>
    <s v="12:00"/>
    <s v="Credit card"/>
    <n v="190"/>
    <n v="4.7618999999999998"/>
    <n v="9.5"/>
    <n v="4.5"/>
    <x v="79"/>
  </r>
  <r>
    <s v="A635-0591"/>
    <s v="A"/>
    <s v="Yangon"/>
    <s v="Member"/>
    <s v="Male"/>
    <s v="Sports and travel"/>
    <n v="72.42"/>
    <n v="8"/>
    <n v="28.97"/>
    <n v="608.33000000000004"/>
    <x v="81"/>
    <s v="12:15"/>
    <s v="Cash"/>
    <n v="579.36"/>
    <n v="4.7618999999999998"/>
    <n v="28.97"/>
    <n v="7.8"/>
    <x v="81"/>
  </r>
  <r>
    <s v="B190-0592"/>
    <s v="B"/>
    <s v="Mandalay"/>
    <s v="Normal"/>
    <s v="Female"/>
    <s v="Electronic accessories"/>
    <n v="64.95"/>
    <n v="1"/>
    <n v="3.25"/>
    <n v="68.2"/>
    <x v="10"/>
    <s v="12:55"/>
    <s v="Credit card"/>
    <n v="64.95"/>
    <n v="4.7618999999999998"/>
    <n v="3.25"/>
    <n v="7.7"/>
    <x v="10"/>
  </r>
  <r>
    <s v="C983-0593"/>
    <s v="C"/>
    <s v="Naypyitaw"/>
    <s v="Normal"/>
    <s v="Male"/>
    <s v="Sports and travel"/>
    <n v="10.41"/>
    <n v="4"/>
    <n v="2.08"/>
    <n v="43.72"/>
    <x v="16"/>
    <s v="11:40"/>
    <s v="Cash"/>
    <n v="41.64"/>
    <n v="4.7618999999999998"/>
    <n v="2.08"/>
    <n v="7.7"/>
    <x v="16"/>
  </r>
  <r>
    <s v="C585-0594"/>
    <s v="C"/>
    <s v="Naypyitaw"/>
    <s v="Member"/>
    <s v="Male"/>
    <s v="Fashion accessories"/>
    <n v="69.34"/>
    <n v="5"/>
    <n v="17.34"/>
    <n v="364.04"/>
    <x v="73"/>
    <s v="13:05"/>
    <s v="Cash"/>
    <n v="346.7"/>
    <n v="4.7618999999999998"/>
    <n v="17.34"/>
    <n v="8.1"/>
    <x v="73"/>
  </r>
  <r>
    <s v="B442-0595"/>
    <s v="B"/>
    <s v="Mandalay"/>
    <s v="Member"/>
    <s v="Female"/>
    <s v="Fashion accessories"/>
    <n v="93.04"/>
    <n v="1"/>
    <n v="4.6500000000000004"/>
    <n v="97.69"/>
    <x v="80"/>
    <s v="15:20"/>
    <s v="Cash"/>
    <n v="93.04"/>
    <n v="4.7618999999999998"/>
    <n v="4.6500000000000004"/>
    <n v="6.6"/>
    <x v="80"/>
  </r>
  <r>
    <s v="C172-0596"/>
    <s v="C"/>
    <s v="Naypyitaw"/>
    <s v="Normal"/>
    <s v="Female"/>
    <s v="Health and beauty"/>
    <n v="76.64"/>
    <n v="9"/>
    <n v="34.49"/>
    <n v="724.25"/>
    <x v="32"/>
    <s v="12:00"/>
    <s v="Credit card"/>
    <n v="689.76"/>
    <n v="4.7618999999999998"/>
    <n v="34.49"/>
    <n v="7.1"/>
    <x v="32"/>
  </r>
  <r>
    <s v="A855-0597"/>
    <s v="A"/>
    <s v="Yangon"/>
    <s v="Normal"/>
    <s v="Male"/>
    <s v="Sports and travel"/>
    <n v="27.89"/>
    <n v="6"/>
    <n v="8.3699999999999992"/>
    <n v="175.71"/>
    <x v="57"/>
    <s v="11:25"/>
    <s v="Cash"/>
    <n v="167.34"/>
    <n v="4.7618999999999998"/>
    <n v="8.3699999999999992"/>
    <n v="4.5999999999999996"/>
    <x v="57"/>
  </r>
  <r>
    <s v="B724-0598"/>
    <s v="B"/>
    <s v="Mandalay"/>
    <s v="Member"/>
    <s v="Male"/>
    <s v="Electronic accessories"/>
    <n v="16.62"/>
    <n v="10"/>
    <n v="8.31"/>
    <n v="174.51"/>
    <x v="44"/>
    <s v="10:30"/>
    <s v="Cash"/>
    <n v="166.2"/>
    <n v="4.7618999999999998"/>
    <n v="8.31"/>
    <n v="5.3"/>
    <x v="44"/>
  </r>
  <r>
    <s v="B132-0599"/>
    <s v="B"/>
    <s v="Mandalay"/>
    <s v="Member"/>
    <s v="Male"/>
    <s v="Home and lifestyle"/>
    <n v="22.28"/>
    <n v="4"/>
    <n v="4.46"/>
    <n v="93.58"/>
    <x v="58"/>
    <s v="15:20"/>
    <s v="Cash"/>
    <n v="89.12"/>
    <n v="4.7618999999999998"/>
    <n v="4.46"/>
    <n v="6"/>
    <x v="58"/>
  </r>
  <r>
    <s v="C402-0600"/>
    <s v="C"/>
    <s v="Naypyitaw"/>
    <s v="Member"/>
    <s v="Male"/>
    <s v="Electronic accessories"/>
    <n v="20"/>
    <n v="8"/>
    <n v="8"/>
    <n v="168"/>
    <x v="45"/>
    <s v="16:10"/>
    <s v="Credit card"/>
    <n v="160"/>
    <n v="4.7618999999999998"/>
    <n v="8"/>
    <n v="5.3"/>
    <x v="45"/>
  </r>
  <r>
    <s v="C321-0601"/>
    <s v="C"/>
    <s v="Naypyitaw"/>
    <s v="Member"/>
    <s v="Female"/>
    <s v="Food and beverages"/>
    <n v="97.31"/>
    <n v="4"/>
    <n v="19.46"/>
    <n v="408.7"/>
    <x v="19"/>
    <s v="16:40"/>
    <s v="Credit card"/>
    <n v="389.24"/>
    <n v="4.7618999999999998"/>
    <n v="19.46"/>
    <n v="9.1999999999999993"/>
    <x v="19"/>
  </r>
  <r>
    <s v="C705-0602"/>
    <s v="C"/>
    <s v="Naypyitaw"/>
    <s v="Normal"/>
    <s v="Male"/>
    <s v="Home and lifestyle"/>
    <n v="11.31"/>
    <n v="7"/>
    <n v="3.96"/>
    <n v="83.13"/>
    <x v="40"/>
    <s v="13:25"/>
    <s v="Credit card"/>
    <n v="79.17"/>
    <n v="4.7618999999999998"/>
    <n v="3.96"/>
    <n v="7.5"/>
    <x v="40"/>
  </r>
  <r>
    <s v="A929-0603"/>
    <s v="A"/>
    <s v="Yangon"/>
    <s v="Member"/>
    <s v="Male"/>
    <s v="Health and beauty"/>
    <n v="13.61"/>
    <n v="8"/>
    <n v="5.44"/>
    <n v="114.32"/>
    <x v="1"/>
    <s v="10:30"/>
    <s v="Ewallet"/>
    <n v="108.88"/>
    <n v="4.7618999999999998"/>
    <n v="5.44"/>
    <n v="6.4"/>
    <x v="1"/>
  </r>
  <r>
    <s v="C344-0604"/>
    <s v="C"/>
    <s v="Naypyitaw"/>
    <s v="Member"/>
    <s v="Male"/>
    <s v="Sports and travel"/>
    <n v="31.65"/>
    <n v="9"/>
    <n v="14.24"/>
    <n v="299.08999999999997"/>
    <x v="77"/>
    <s v="16:15"/>
    <s v="Cash"/>
    <n v="284.85000000000002"/>
    <n v="4.7618999999999998"/>
    <n v="14.24"/>
    <n v="6.2"/>
    <x v="77"/>
  </r>
  <r>
    <s v="C565-0605"/>
    <s v="C"/>
    <s v="Naypyitaw"/>
    <s v="Member"/>
    <s v="Female"/>
    <s v="Sports and travel"/>
    <n v="70.209999999999994"/>
    <n v="3"/>
    <n v="10.53"/>
    <n v="221.16"/>
    <x v="45"/>
    <s v="19:55"/>
    <s v="Ewallet"/>
    <n v="210.63"/>
    <n v="4.7618999999999998"/>
    <n v="10.53"/>
    <n v="4.0999999999999996"/>
    <x v="45"/>
  </r>
  <r>
    <s v="B742-0606"/>
    <s v="B"/>
    <s v="Mandalay"/>
    <s v="Member"/>
    <s v="Male"/>
    <s v="Electronic accessories"/>
    <n v="81.09"/>
    <n v="6"/>
    <n v="24.33"/>
    <n v="510.87"/>
    <x v="58"/>
    <s v="17:55"/>
    <s v="Ewallet"/>
    <n v="486.54"/>
    <n v="4.7618999999999998"/>
    <n v="24.33"/>
    <n v="4"/>
    <x v="58"/>
  </r>
  <r>
    <s v="A906-0607"/>
    <s v="A"/>
    <s v="Yangon"/>
    <s v="Normal"/>
    <s v="Male"/>
    <s v="Food and beverages"/>
    <n v="12.94"/>
    <n v="7"/>
    <n v="4.53"/>
    <n v="95.11"/>
    <x v="48"/>
    <s v="19:40"/>
    <s v="Ewallet"/>
    <n v="90.58"/>
    <n v="4.7618999999999998"/>
    <n v="4.53"/>
    <n v="8.8000000000000007"/>
    <x v="48"/>
  </r>
  <r>
    <s v="C576-0608"/>
    <s v="C"/>
    <s v="Naypyitaw"/>
    <s v="Member"/>
    <s v="Male"/>
    <s v="Fashion accessories"/>
    <n v="93.9"/>
    <n v="9"/>
    <n v="42.26"/>
    <n v="887.36"/>
    <x v="61"/>
    <s v="15:00"/>
    <s v="Cash"/>
    <n v="845.1"/>
    <n v="4.7618999999999998"/>
    <n v="42.26"/>
    <n v="6.3"/>
    <x v="61"/>
  </r>
  <r>
    <s v="C442-0609"/>
    <s v="C"/>
    <s v="Naypyitaw"/>
    <s v="Member"/>
    <s v="Male"/>
    <s v="Home and lifestyle"/>
    <n v="25.77"/>
    <n v="9"/>
    <n v="11.6"/>
    <n v="243.53"/>
    <x v="36"/>
    <s v="18:55"/>
    <s v="Cash"/>
    <n v="231.93"/>
    <n v="4.7618999999999998"/>
    <n v="11.6"/>
    <n v="4.8"/>
    <x v="36"/>
  </r>
  <r>
    <s v="A615-0610"/>
    <s v="A"/>
    <s v="Yangon"/>
    <s v="Member"/>
    <s v="Male"/>
    <s v="Fashion accessories"/>
    <n v="94.52"/>
    <n v="10"/>
    <n v="47.26"/>
    <n v="992.46"/>
    <x v="83"/>
    <s v="13:25"/>
    <s v="Credit card"/>
    <n v="945.2"/>
    <n v="4.7618999999999998"/>
    <n v="47.26"/>
    <n v="9.4"/>
    <x v="83"/>
  </r>
  <r>
    <s v="C581-0611"/>
    <s v="C"/>
    <s v="Naypyitaw"/>
    <s v="Normal"/>
    <s v="Male"/>
    <s v="Health and beauty"/>
    <n v="15.7"/>
    <n v="6"/>
    <n v="4.71"/>
    <n v="98.91"/>
    <x v="68"/>
    <s v="17:40"/>
    <s v="Ewallet"/>
    <n v="94.2"/>
    <n v="4.7618999999999998"/>
    <n v="4.71"/>
    <n v="9"/>
    <x v="68"/>
  </r>
  <r>
    <s v="C283-0612"/>
    <s v="C"/>
    <s v="Naypyitaw"/>
    <s v="Normal"/>
    <s v="Male"/>
    <s v="Food and beverages"/>
    <n v="43.13"/>
    <n v="2"/>
    <n v="4.3099999999999996"/>
    <n v="90.57"/>
    <x v="16"/>
    <s v="17:05"/>
    <s v="Cash"/>
    <n v="86.26"/>
    <n v="4.7618999999999998"/>
    <n v="4.3099999999999996"/>
    <n v="6.3"/>
    <x v="16"/>
  </r>
  <r>
    <s v="B123-0613"/>
    <s v="B"/>
    <s v="Mandalay"/>
    <s v="Member"/>
    <s v="Female"/>
    <s v="Electronic accessories"/>
    <n v="34.83"/>
    <n v="3"/>
    <n v="5.22"/>
    <n v="109.71"/>
    <x v="85"/>
    <s v="12:15"/>
    <s v="Ewallet"/>
    <n v="104.49"/>
    <n v="4.7618999999999998"/>
    <n v="5.22"/>
    <n v="9.6999999999999993"/>
    <x v="85"/>
  </r>
  <r>
    <s v="B992-0614"/>
    <s v="B"/>
    <s v="Mandalay"/>
    <s v="Normal"/>
    <s v="Female"/>
    <s v="Sports and travel"/>
    <n v="41.2"/>
    <n v="8"/>
    <n v="16.48"/>
    <n v="346.08"/>
    <x v="80"/>
    <s v="10:20"/>
    <s v="Cash"/>
    <n v="329.6"/>
    <n v="4.7618999999999998"/>
    <n v="16.48"/>
    <n v="4.4000000000000004"/>
    <x v="80"/>
  </r>
  <r>
    <s v="A661-0615"/>
    <s v="A"/>
    <s v="Yangon"/>
    <s v="Normal"/>
    <s v="Male"/>
    <s v="Food and beverages"/>
    <n v="40.85"/>
    <n v="6"/>
    <n v="12.26"/>
    <n v="257.36"/>
    <x v="44"/>
    <s v="19:50"/>
    <s v="Ewallet"/>
    <n v="245.1"/>
    <n v="4.7618999999999998"/>
    <n v="12.26"/>
    <n v="7.2"/>
    <x v="44"/>
  </r>
  <r>
    <s v="B395-0616"/>
    <s v="B"/>
    <s v="Mandalay"/>
    <s v="Normal"/>
    <s v="Male"/>
    <s v="Food and beverages"/>
    <n v="21.88"/>
    <n v="5"/>
    <n v="5.47"/>
    <n v="114.87"/>
    <x v="38"/>
    <s v="14:15"/>
    <s v="Credit card"/>
    <n v="109.4"/>
    <n v="4.7618999999999998"/>
    <n v="5.47"/>
    <n v="6.2"/>
    <x v="38"/>
  </r>
  <r>
    <s v="A279-0617"/>
    <s v="A"/>
    <s v="Yangon"/>
    <s v="Member"/>
    <s v="Male"/>
    <s v="Home and lifestyle"/>
    <n v="51.03"/>
    <n v="3"/>
    <n v="7.65"/>
    <n v="160.74"/>
    <x v="34"/>
    <s v="12:55"/>
    <s v="Ewallet"/>
    <n v="153.09"/>
    <n v="4.7618999999999998"/>
    <n v="7.65"/>
    <n v="5.7"/>
    <x v="34"/>
  </r>
  <r>
    <s v="C310-0618"/>
    <s v="C"/>
    <s v="Naypyitaw"/>
    <s v="Member"/>
    <s v="Female"/>
    <s v="Electronic accessories"/>
    <n v="20.52"/>
    <n v="6"/>
    <n v="6.16"/>
    <n v="129.28"/>
    <x v="4"/>
    <s v="12:35"/>
    <s v="Credit card"/>
    <n v="123.12"/>
    <n v="4.7618999999999998"/>
    <n v="6.16"/>
    <n v="6.2"/>
    <x v="4"/>
  </r>
  <r>
    <s v="C125-0619"/>
    <s v="C"/>
    <s v="Naypyitaw"/>
    <s v="Member"/>
    <s v="Male"/>
    <s v="Home and lifestyle"/>
    <n v="23.31"/>
    <n v="8"/>
    <n v="9.32"/>
    <n v="195.8"/>
    <x v="63"/>
    <s v="12:40"/>
    <s v="Credit card"/>
    <n v="186.48"/>
    <n v="4.7618999999999998"/>
    <n v="9.32"/>
    <n v="4.7"/>
    <x v="63"/>
  </r>
  <r>
    <s v="B402-0620"/>
    <s v="B"/>
    <s v="Mandalay"/>
    <s v="Normal"/>
    <s v="Female"/>
    <s v="Sports and travel"/>
    <n v="93.5"/>
    <n v="3"/>
    <n v="14.03"/>
    <n v="294.52999999999997"/>
    <x v="78"/>
    <s v="18:40"/>
    <s v="Credit card"/>
    <n v="280.5"/>
    <n v="4.7618999999999998"/>
    <n v="14.03"/>
    <n v="7.9"/>
    <x v="78"/>
  </r>
  <r>
    <s v="B242-0621"/>
    <s v="B"/>
    <s v="Mandalay"/>
    <s v="Normal"/>
    <s v="Female"/>
    <s v="Food and beverages"/>
    <n v="75.569999999999993"/>
    <n v="8"/>
    <n v="30.23"/>
    <n v="634.79"/>
    <x v="54"/>
    <s v="11:55"/>
    <s v="Credit card"/>
    <n v="604.55999999999995"/>
    <n v="4.7618999999999998"/>
    <n v="30.23"/>
    <n v="9.4"/>
    <x v="54"/>
  </r>
  <r>
    <s v="C756-0622"/>
    <s v="C"/>
    <s v="Naypyitaw"/>
    <s v="Member"/>
    <s v="Male"/>
    <s v="Health and beauty"/>
    <n v="46.15"/>
    <n v="4"/>
    <n v="9.23"/>
    <n v="193.83"/>
    <x v="68"/>
    <s v="15:05"/>
    <s v="Credit card"/>
    <n v="184.6"/>
    <n v="4.7618999999999998"/>
    <n v="9.23"/>
    <n v="4.3"/>
    <x v="68"/>
  </r>
  <r>
    <s v="A503-0623"/>
    <s v="A"/>
    <s v="Yangon"/>
    <s v="Member"/>
    <s v="Male"/>
    <s v="Electronic accessories"/>
    <n v="12.03"/>
    <n v="9"/>
    <n v="5.41"/>
    <n v="113.68"/>
    <x v="68"/>
    <s v="20:50"/>
    <s v="Cash"/>
    <n v="108.27"/>
    <n v="4.7618999999999998"/>
    <n v="5.41"/>
    <n v="9.9"/>
    <x v="68"/>
  </r>
  <r>
    <s v="A537-0624"/>
    <s v="A"/>
    <s v="Yangon"/>
    <s v="Normal"/>
    <s v="Male"/>
    <s v="Food and beverages"/>
    <n v="64.459999999999994"/>
    <n v="1"/>
    <n v="3.22"/>
    <n v="67.680000000000007"/>
    <x v="23"/>
    <s v="15:30"/>
    <s v="Cash"/>
    <n v="64.459999999999994"/>
    <n v="4.7618999999999998"/>
    <n v="3.22"/>
    <n v="8.3000000000000007"/>
    <x v="23"/>
  </r>
  <r>
    <s v="B554-0625"/>
    <s v="B"/>
    <s v="Mandalay"/>
    <s v="Normal"/>
    <s v="Male"/>
    <s v="Health and beauty"/>
    <n v="35.619999999999997"/>
    <n v="6"/>
    <n v="10.69"/>
    <n v="224.41"/>
    <x v="12"/>
    <s v="17:40"/>
    <s v="Cash"/>
    <n v="213.72"/>
    <n v="4.7618999999999998"/>
    <n v="10.69"/>
    <n v="5.3"/>
    <x v="12"/>
  </r>
  <r>
    <s v="C312-0626"/>
    <s v="C"/>
    <s v="Naypyitaw"/>
    <s v="Normal"/>
    <s v="Male"/>
    <s v="Home and lifestyle"/>
    <n v="24.74"/>
    <n v="7"/>
    <n v="8.66"/>
    <n v="181.84"/>
    <x v="74"/>
    <s v="12:45"/>
    <s v="Ewallet"/>
    <n v="173.18"/>
    <n v="4.7618999999999998"/>
    <n v="8.66"/>
    <n v="4.5"/>
    <x v="74"/>
  </r>
  <r>
    <s v="B379-0627"/>
    <s v="B"/>
    <s v="Mandalay"/>
    <s v="Normal"/>
    <s v="Male"/>
    <s v="Health and beauty"/>
    <n v="93.98"/>
    <n v="10"/>
    <n v="46.99"/>
    <n v="986.79"/>
    <x v="79"/>
    <s v="11:00"/>
    <s v="Credit card"/>
    <n v="939.8"/>
    <n v="4.7618999999999998"/>
    <n v="46.99"/>
    <n v="7.8"/>
    <x v="79"/>
  </r>
  <r>
    <s v="B143-0628"/>
    <s v="B"/>
    <s v="Mandalay"/>
    <s v="Member"/>
    <s v="Male"/>
    <s v="Fashion accessories"/>
    <n v="61.11"/>
    <n v="3"/>
    <n v="9.17"/>
    <n v="192.5"/>
    <x v="30"/>
    <s v="12:30"/>
    <s v="Credit card"/>
    <n v="183.33"/>
    <n v="4.7618999999999998"/>
    <n v="9.17"/>
    <n v="7.3"/>
    <x v="30"/>
  </r>
  <r>
    <s v="B755-0629"/>
    <s v="B"/>
    <s v="Mandalay"/>
    <s v="Normal"/>
    <s v="Male"/>
    <s v="Food and beverages"/>
    <n v="76.59"/>
    <n v="4"/>
    <n v="15.32"/>
    <n v="321.68"/>
    <x v="49"/>
    <s v="10:10"/>
    <s v="Credit card"/>
    <n v="306.36"/>
    <n v="4.7618999999999998"/>
    <n v="15.32"/>
    <n v="5.8"/>
    <x v="49"/>
  </r>
  <r>
    <s v="C129-0630"/>
    <s v="C"/>
    <s v="Naypyitaw"/>
    <s v="Normal"/>
    <s v="Female"/>
    <s v="Fashion accessories"/>
    <n v="69.930000000000007"/>
    <n v="5"/>
    <n v="17.48"/>
    <n v="367.13"/>
    <x v="74"/>
    <s v="12:35"/>
    <s v="Ewallet"/>
    <n v="349.65"/>
    <n v="4.7618999999999998"/>
    <n v="17.48"/>
    <n v="7.9"/>
    <x v="74"/>
  </r>
  <r>
    <s v="A743-0631"/>
    <s v="A"/>
    <s v="Yangon"/>
    <s v="Normal"/>
    <s v="Male"/>
    <s v="Health and beauty"/>
    <n v="63.9"/>
    <n v="6"/>
    <n v="19.170000000000002"/>
    <n v="402.57"/>
    <x v="21"/>
    <s v="17:45"/>
    <s v="Credit card"/>
    <n v="383.4"/>
    <n v="4.7618999999999998"/>
    <n v="19.170000000000002"/>
    <n v="9.1999999999999993"/>
    <x v="21"/>
  </r>
  <r>
    <s v="C427-0632"/>
    <s v="C"/>
    <s v="Naypyitaw"/>
    <s v="Normal"/>
    <s v="Female"/>
    <s v="Home and lifestyle"/>
    <n v="56.13"/>
    <n v="10"/>
    <n v="28.06"/>
    <n v="589.36"/>
    <x v="37"/>
    <s v="14:10"/>
    <s v="Ewallet"/>
    <n v="561.29999999999995"/>
    <n v="4.7618999999999998"/>
    <n v="28.06"/>
    <n v="4.4000000000000004"/>
    <x v="37"/>
  </r>
  <r>
    <s v="B642-0633"/>
    <s v="B"/>
    <s v="Mandalay"/>
    <s v="Member"/>
    <s v="Male"/>
    <s v="Electronic accessories"/>
    <n v="14.76"/>
    <n v="6"/>
    <n v="4.43"/>
    <n v="92.99"/>
    <x v="74"/>
    <s v="20:25"/>
    <s v="Cash"/>
    <n v="88.56"/>
    <n v="4.7618999999999998"/>
    <n v="4.43"/>
    <n v="5.7"/>
    <x v="74"/>
  </r>
  <r>
    <s v="C946-0634"/>
    <s v="C"/>
    <s v="Naypyitaw"/>
    <s v="Member"/>
    <s v="Female"/>
    <s v="Fashion accessories"/>
    <n v="26.49"/>
    <n v="2"/>
    <n v="2.65"/>
    <n v="55.63"/>
    <x v="10"/>
    <s v="12:40"/>
    <s v="Credit card"/>
    <n v="52.98"/>
    <n v="4.7618999999999998"/>
    <n v="2.65"/>
    <n v="9.1999999999999993"/>
    <x v="10"/>
  </r>
  <r>
    <s v="C113-0635"/>
    <s v="C"/>
    <s v="Naypyitaw"/>
    <s v="Normal"/>
    <s v="Male"/>
    <s v="Fashion accessories"/>
    <n v="72.819999999999993"/>
    <n v="6"/>
    <n v="21.85"/>
    <n v="458.77"/>
    <x v="75"/>
    <s v="18:45"/>
    <s v="Credit card"/>
    <n v="436.92"/>
    <n v="4.7618999999999998"/>
    <n v="21.85"/>
    <n v="8.9"/>
    <x v="75"/>
  </r>
  <r>
    <s v="A292-0636"/>
    <s v="A"/>
    <s v="Yangon"/>
    <s v="Normal"/>
    <s v="Male"/>
    <s v="Sports and travel"/>
    <n v="47.08"/>
    <n v="3"/>
    <n v="7.06"/>
    <n v="148.30000000000001"/>
    <x v="42"/>
    <s v="13:10"/>
    <s v="Ewallet"/>
    <n v="141.24"/>
    <n v="4.7618999999999998"/>
    <n v="7.06"/>
    <n v="5.3"/>
    <x v="42"/>
  </r>
  <r>
    <s v="C471-0637"/>
    <s v="C"/>
    <s v="Naypyitaw"/>
    <s v="Member"/>
    <s v="Male"/>
    <s v="Sports and travel"/>
    <n v="92.44"/>
    <n v="2"/>
    <n v="9.24"/>
    <n v="194.12"/>
    <x v="27"/>
    <s v="10:35"/>
    <s v="Credit card"/>
    <n v="184.88"/>
    <n v="4.7618999999999998"/>
    <n v="9.24"/>
    <n v="5.9"/>
    <x v="27"/>
  </r>
  <r>
    <s v="A332-0638"/>
    <s v="A"/>
    <s v="Yangon"/>
    <s v="Normal"/>
    <s v="Male"/>
    <s v="Electronic accessories"/>
    <n v="73.89"/>
    <n v="1"/>
    <n v="3.69"/>
    <n v="77.58"/>
    <x v="41"/>
    <s v="13:10"/>
    <s v="Ewallet"/>
    <n v="73.89"/>
    <n v="4.7618999999999998"/>
    <n v="3.69"/>
    <n v="4.9000000000000004"/>
    <x v="41"/>
  </r>
  <r>
    <s v="B875-0639"/>
    <s v="B"/>
    <s v="Mandalay"/>
    <s v="Member"/>
    <s v="Female"/>
    <s v="Electronic accessories"/>
    <n v="98.3"/>
    <n v="7"/>
    <n v="34.409999999999997"/>
    <n v="722.51"/>
    <x v="81"/>
    <s v="11:05"/>
    <s v="Cash"/>
    <n v="688.1"/>
    <n v="4.7618999999999998"/>
    <n v="34.409999999999997"/>
    <n v="8.6"/>
    <x v="81"/>
  </r>
  <r>
    <s v="B144-0640"/>
    <s v="B"/>
    <s v="Mandalay"/>
    <s v="Member"/>
    <s v="Female"/>
    <s v="Health and beauty"/>
    <n v="12.95"/>
    <n v="9"/>
    <n v="5.83"/>
    <n v="122.38"/>
    <x v="14"/>
    <s v="10:35"/>
    <s v="Cash"/>
    <n v="116.55"/>
    <n v="4.7618999999999998"/>
    <n v="5.83"/>
    <n v="9.5"/>
    <x v="14"/>
  </r>
  <r>
    <s v="A129-0641"/>
    <s v="A"/>
    <s v="Yangon"/>
    <s v="Normal"/>
    <s v="Female"/>
    <s v="Health and beauty"/>
    <n v="80.41"/>
    <n v="10"/>
    <n v="40.21"/>
    <n v="844.31"/>
    <x v="83"/>
    <s v="19:15"/>
    <s v="Cash"/>
    <n v="804.1"/>
    <n v="4.7618999999999998"/>
    <n v="40.21"/>
    <n v="8"/>
    <x v="83"/>
  </r>
  <r>
    <s v="A201-0642"/>
    <s v="A"/>
    <s v="Yangon"/>
    <s v="Member"/>
    <s v="Male"/>
    <s v="Food and beverages"/>
    <n v="41.31"/>
    <n v="3"/>
    <n v="6.2"/>
    <n v="130.13"/>
    <x v="1"/>
    <s v="19:15"/>
    <s v="Ewallet"/>
    <n v="123.93"/>
    <n v="4.7618999999999998"/>
    <n v="6.2"/>
    <n v="7.4"/>
    <x v="1"/>
  </r>
  <r>
    <s v="C319-0643"/>
    <s v="C"/>
    <s v="Naypyitaw"/>
    <s v="Member"/>
    <s v="Female"/>
    <s v="Fashion accessories"/>
    <n v="27.24"/>
    <n v="5"/>
    <n v="6.81"/>
    <n v="143.01"/>
    <x v="38"/>
    <s v="18:00"/>
    <s v="Ewallet"/>
    <n v="136.19999999999999"/>
    <n v="4.7618999999999998"/>
    <n v="6.81"/>
    <n v="4.5999999999999996"/>
    <x v="38"/>
  </r>
  <r>
    <s v="C534-0644"/>
    <s v="C"/>
    <s v="Naypyitaw"/>
    <s v="Normal"/>
    <s v="Male"/>
    <s v="Fashion accessories"/>
    <n v="63.04"/>
    <n v="8"/>
    <n v="25.22"/>
    <n v="529.54"/>
    <x v="61"/>
    <s v="11:10"/>
    <s v="Credit card"/>
    <n v="504.32"/>
    <n v="4.7618999999999998"/>
    <n v="25.22"/>
    <n v="9.9"/>
    <x v="61"/>
  </r>
  <r>
    <s v="A880-0645"/>
    <s v="A"/>
    <s v="Yangon"/>
    <s v="Member"/>
    <s v="Male"/>
    <s v="Health and beauty"/>
    <n v="78.53"/>
    <n v="6"/>
    <n v="23.56"/>
    <n v="494.74"/>
    <x v="41"/>
    <s v="17:05"/>
    <s v="Ewallet"/>
    <n v="471.18"/>
    <n v="4.7618999999999998"/>
    <n v="23.56"/>
    <n v="4.8"/>
    <x v="41"/>
  </r>
  <r>
    <s v="B803-0646"/>
    <s v="B"/>
    <s v="Mandalay"/>
    <s v="Normal"/>
    <s v="Female"/>
    <s v="Health and beauty"/>
    <n v="39.53"/>
    <n v="2"/>
    <n v="3.95"/>
    <n v="83.01"/>
    <x v="33"/>
    <s v="14:35"/>
    <s v="Ewallet"/>
    <n v="79.06"/>
    <n v="4.7618999999999998"/>
    <n v="3.95"/>
    <n v="8.4"/>
    <x v="33"/>
  </r>
  <r>
    <s v="B113-0647"/>
    <s v="B"/>
    <s v="Mandalay"/>
    <s v="Member"/>
    <s v="Male"/>
    <s v="Home and lifestyle"/>
    <n v="98.65"/>
    <n v="7"/>
    <n v="34.53"/>
    <n v="725.08"/>
    <x v="16"/>
    <s v="11:35"/>
    <s v="Ewallet"/>
    <n v="690.55"/>
    <n v="4.7618999999999998"/>
    <n v="34.53"/>
    <n v="6.2"/>
    <x v="16"/>
  </r>
  <r>
    <s v="C204-0648"/>
    <s v="C"/>
    <s v="Naypyitaw"/>
    <s v="Normal"/>
    <s v="Female"/>
    <s v="Sports and travel"/>
    <n v="49.43"/>
    <n v="2"/>
    <n v="4.9400000000000004"/>
    <n v="103.8"/>
    <x v="41"/>
    <s v="12:30"/>
    <s v="Credit card"/>
    <n v="98.86"/>
    <n v="4.7618999999999998"/>
    <n v="4.9400000000000004"/>
    <n v="8.1999999999999993"/>
    <x v="41"/>
  </r>
  <r>
    <s v="C534-0649"/>
    <s v="C"/>
    <s v="Naypyitaw"/>
    <s v="Member"/>
    <s v="Female"/>
    <s v="Home and lifestyle"/>
    <n v="97.77"/>
    <n v="6"/>
    <n v="29.33"/>
    <n v="615.95000000000005"/>
    <x v="30"/>
    <s v="19:30"/>
    <s v="Cash"/>
    <n v="586.62"/>
    <n v="4.7618999999999998"/>
    <n v="29.33"/>
    <n v="5.4"/>
    <x v="30"/>
  </r>
  <r>
    <s v="C717-0650"/>
    <s v="C"/>
    <s v="Naypyitaw"/>
    <s v="Normal"/>
    <s v="Male"/>
    <s v="Fashion accessories"/>
    <n v="78.94"/>
    <n v="10"/>
    <n v="39.47"/>
    <n v="828.87"/>
    <x v="48"/>
    <s v="20:30"/>
    <s v="Credit card"/>
    <n v="789.4"/>
    <n v="4.7618999999999998"/>
    <n v="39.47"/>
    <n v="6.9"/>
    <x v="48"/>
  </r>
  <r>
    <s v="B237-0651"/>
    <s v="B"/>
    <s v="Mandalay"/>
    <s v="Normal"/>
    <s v="Male"/>
    <s v="Electronic accessories"/>
    <n v="79.12"/>
    <n v="2"/>
    <n v="7.91"/>
    <n v="166.15"/>
    <x v="41"/>
    <s v="14:35"/>
    <s v="Credit card"/>
    <n v="158.24"/>
    <n v="4.7618999999999998"/>
    <n v="7.91"/>
    <n v="5.4"/>
    <x v="41"/>
  </r>
  <r>
    <s v="A410-0652"/>
    <s v="A"/>
    <s v="Yangon"/>
    <s v="Member"/>
    <s v="Female"/>
    <s v="Health and beauty"/>
    <n v="54.83"/>
    <n v="1"/>
    <n v="2.74"/>
    <n v="57.57"/>
    <x v="32"/>
    <s v="16:45"/>
    <s v="Ewallet"/>
    <n v="54.83"/>
    <n v="4.7618999999999998"/>
    <n v="2.74"/>
    <n v="6"/>
    <x v="32"/>
  </r>
  <r>
    <s v="C616-0653"/>
    <s v="C"/>
    <s v="Naypyitaw"/>
    <s v="Member"/>
    <s v="Female"/>
    <s v="Fashion accessories"/>
    <n v="77.64"/>
    <n v="8"/>
    <n v="31.06"/>
    <n v="652.17999999999995"/>
    <x v="6"/>
    <s v="13:20"/>
    <s v="Ewallet"/>
    <n v="621.12"/>
    <n v="4.7618999999999998"/>
    <n v="31.06"/>
    <n v="7"/>
    <x v="6"/>
  </r>
  <r>
    <s v="B136-0654"/>
    <s v="B"/>
    <s v="Mandalay"/>
    <s v="Normal"/>
    <s v="Female"/>
    <s v="Health and beauty"/>
    <n v="99.16"/>
    <n v="2"/>
    <n v="9.92"/>
    <n v="208.24"/>
    <x v="33"/>
    <s v="17:25"/>
    <s v="Credit card"/>
    <n v="198.32"/>
    <n v="4.7618999999999998"/>
    <n v="9.92"/>
    <n v="6.7"/>
    <x v="33"/>
  </r>
  <r>
    <s v="A212-0655"/>
    <s v="A"/>
    <s v="Yangon"/>
    <s v="Member"/>
    <s v="Male"/>
    <s v="Fashion accessories"/>
    <n v="24.77"/>
    <n v="7"/>
    <n v="8.67"/>
    <n v="182.06"/>
    <x v="0"/>
    <s v="14:55"/>
    <s v="Credit card"/>
    <n v="173.39"/>
    <n v="4.7618999999999998"/>
    <n v="8.67"/>
    <n v="6.9"/>
    <x v="0"/>
  </r>
  <r>
    <s v="C486-0656"/>
    <s v="C"/>
    <s v="Naypyitaw"/>
    <s v="Normal"/>
    <s v="Male"/>
    <s v="Sports and travel"/>
    <n v="60.6"/>
    <n v="3"/>
    <n v="9.09"/>
    <n v="190.89"/>
    <x v="1"/>
    <s v="10:30"/>
    <s v="Credit card"/>
    <n v="181.8"/>
    <n v="4.7618999999999998"/>
    <n v="9.09"/>
    <n v="7"/>
    <x v="1"/>
  </r>
  <r>
    <s v="C697-0657"/>
    <s v="C"/>
    <s v="Naypyitaw"/>
    <s v="Normal"/>
    <s v="Male"/>
    <s v="Home and lifestyle"/>
    <n v="15.53"/>
    <n v="10"/>
    <n v="7.77"/>
    <n v="163.07"/>
    <x v="55"/>
    <s v="12:25"/>
    <s v="Credit card"/>
    <n v="155.30000000000001"/>
    <n v="4.7618999999999998"/>
    <n v="7.77"/>
    <n v="8.9"/>
    <x v="55"/>
  </r>
  <r>
    <s v="A340-0658"/>
    <s v="A"/>
    <s v="Yangon"/>
    <s v="Normal"/>
    <s v="Male"/>
    <s v="Health and beauty"/>
    <n v="48.53"/>
    <n v="6"/>
    <n v="14.56"/>
    <n v="305.74"/>
    <x v="29"/>
    <s v="15:00"/>
    <s v="Ewallet"/>
    <n v="291.18"/>
    <n v="4.7618999999999998"/>
    <n v="14.56"/>
    <n v="5.5"/>
    <x v="29"/>
  </r>
  <r>
    <s v="C138-0659"/>
    <s v="C"/>
    <s v="Naypyitaw"/>
    <s v="Normal"/>
    <s v="Female"/>
    <s v="Fashion accessories"/>
    <n v="15.9"/>
    <n v="5"/>
    <n v="3.98"/>
    <n v="83.48"/>
    <x v="46"/>
    <s v="15:10"/>
    <s v="Cash"/>
    <n v="79.5"/>
    <n v="4.7618999999999998"/>
    <n v="3.98"/>
    <n v="7.2"/>
    <x v="46"/>
  </r>
  <r>
    <s v="B430-0660"/>
    <s v="B"/>
    <s v="Mandalay"/>
    <s v="Normal"/>
    <s v="Male"/>
    <s v="Home and lifestyle"/>
    <n v="11.84"/>
    <n v="8"/>
    <n v="4.74"/>
    <n v="99.46"/>
    <x v="14"/>
    <s v="10:25"/>
    <s v="Credit card"/>
    <n v="94.72"/>
    <n v="4.7618999999999998"/>
    <n v="4.74"/>
    <n v="7.4"/>
    <x v="14"/>
  </r>
  <r>
    <s v="C729-0661"/>
    <s v="C"/>
    <s v="Naypyitaw"/>
    <s v="Member"/>
    <s v="Male"/>
    <s v="Health and beauty"/>
    <n v="72.180000000000007"/>
    <n v="4"/>
    <n v="14.44"/>
    <n v="303.16000000000003"/>
    <x v="54"/>
    <s v="17:40"/>
    <s v="Ewallet"/>
    <n v="288.72000000000003"/>
    <n v="4.7618999999999998"/>
    <n v="14.44"/>
    <n v="6"/>
    <x v="54"/>
  </r>
  <r>
    <s v="B687-0662"/>
    <s v="B"/>
    <s v="Mandalay"/>
    <s v="Normal"/>
    <s v="Male"/>
    <s v="Electronic accessories"/>
    <n v="54.73"/>
    <n v="2"/>
    <n v="5.47"/>
    <n v="114.93"/>
    <x v="71"/>
    <s v="13:20"/>
    <s v="Credit card"/>
    <n v="109.46"/>
    <n v="4.7618999999999998"/>
    <n v="5.47"/>
    <n v="4.3"/>
    <x v="71"/>
  </r>
  <r>
    <s v="B643-0663"/>
    <s v="B"/>
    <s v="Mandalay"/>
    <s v="Member"/>
    <s v="Female"/>
    <s v="Fashion accessories"/>
    <n v="85.98"/>
    <n v="2"/>
    <n v="8.6"/>
    <n v="180.56"/>
    <x v="14"/>
    <s v="15:20"/>
    <s v="Cash"/>
    <n v="171.96"/>
    <n v="4.7618999999999998"/>
    <n v="8.6"/>
    <n v="7.4"/>
    <x v="14"/>
  </r>
  <r>
    <s v="B304-0664"/>
    <s v="B"/>
    <s v="Mandalay"/>
    <s v="Normal"/>
    <s v="Female"/>
    <s v="Home and lifestyle"/>
    <n v="81.61"/>
    <n v="5"/>
    <n v="20.399999999999999"/>
    <n v="428.45"/>
    <x v="1"/>
    <s v="14:30"/>
    <s v="Ewallet"/>
    <n v="408.05"/>
    <n v="4.7618999999999998"/>
    <n v="20.399999999999999"/>
    <n v="7.2"/>
    <x v="1"/>
  </r>
  <r>
    <s v="B291-0665"/>
    <s v="B"/>
    <s v="Mandalay"/>
    <s v="Normal"/>
    <s v="Male"/>
    <s v="Food and beverages"/>
    <n v="56.38"/>
    <n v="9"/>
    <n v="25.37"/>
    <n v="532.79"/>
    <x v="18"/>
    <s v="10:50"/>
    <s v="Ewallet"/>
    <n v="507.42"/>
    <n v="4.7618999999999998"/>
    <n v="25.37"/>
    <n v="7.1"/>
    <x v="18"/>
  </r>
  <r>
    <s v="C544-0666"/>
    <s v="C"/>
    <s v="Naypyitaw"/>
    <s v="Normal"/>
    <s v="Female"/>
    <s v="Fashion accessories"/>
    <n v="96.59"/>
    <n v="8"/>
    <n v="38.64"/>
    <n v="811.36"/>
    <x v="48"/>
    <s v="20:40"/>
    <s v="Ewallet"/>
    <n v="772.72"/>
    <n v="4.7618999999999998"/>
    <n v="38.64"/>
    <n v="9.1"/>
    <x v="48"/>
  </r>
  <r>
    <s v="C980-0667"/>
    <s v="C"/>
    <s v="Naypyitaw"/>
    <s v="Member"/>
    <s v="Female"/>
    <s v="Home and lifestyle"/>
    <n v="51.62"/>
    <n v="4"/>
    <n v="10.32"/>
    <n v="216.8"/>
    <x v="82"/>
    <s v="20:20"/>
    <s v="Credit card"/>
    <n v="206.48"/>
    <n v="4.7618999999999998"/>
    <n v="10.32"/>
    <n v="6.5"/>
    <x v="82"/>
  </r>
  <r>
    <s v="A216-0668"/>
    <s v="A"/>
    <s v="Yangon"/>
    <s v="Member"/>
    <s v="Male"/>
    <s v="Home and lifestyle"/>
    <n v="84.13"/>
    <n v="3"/>
    <n v="12.62"/>
    <n v="265.01"/>
    <x v="39"/>
    <s v="20:45"/>
    <s v="Cash"/>
    <n v="252.39"/>
    <n v="4.7618999999999998"/>
    <n v="12.62"/>
    <n v="6.4"/>
    <x v="39"/>
  </r>
  <r>
    <s v="A137-0669"/>
    <s v="A"/>
    <s v="Yangon"/>
    <s v="Member"/>
    <s v="Female"/>
    <s v="Electronic accessories"/>
    <n v="81.73"/>
    <n v="5"/>
    <n v="20.43"/>
    <n v="429.08"/>
    <x v="6"/>
    <s v="17:40"/>
    <s v="Credit card"/>
    <n v="408.65"/>
    <n v="4.7618999999999998"/>
    <n v="20.43"/>
    <n v="6.5"/>
    <x v="6"/>
  </r>
  <r>
    <s v="A839-0670"/>
    <s v="A"/>
    <s v="Yangon"/>
    <s v="Member"/>
    <s v="Male"/>
    <s v="Electronic accessories"/>
    <n v="12.62"/>
    <n v="5"/>
    <n v="3.16"/>
    <n v="66.260000000000005"/>
    <x v="13"/>
    <s v="18:10"/>
    <s v="Ewallet"/>
    <n v="63.1"/>
    <n v="4.7618999999999998"/>
    <n v="3.16"/>
    <n v="9.1"/>
    <x v="13"/>
  </r>
  <r>
    <s v="B192-0671"/>
    <s v="B"/>
    <s v="Mandalay"/>
    <s v="Member"/>
    <s v="Female"/>
    <s v="Health and beauty"/>
    <n v="38.25"/>
    <n v="5"/>
    <n v="9.56"/>
    <n v="200.81"/>
    <x v="36"/>
    <s v="16:25"/>
    <s v="Ewallet"/>
    <n v="191.25"/>
    <n v="4.7618999999999998"/>
    <n v="9.56"/>
    <n v="7.9"/>
    <x v="36"/>
  </r>
  <r>
    <s v="B637-0672"/>
    <s v="B"/>
    <s v="Mandalay"/>
    <s v="Member"/>
    <s v="Female"/>
    <s v="Health and beauty"/>
    <n v="61.39"/>
    <n v="9"/>
    <n v="27.63"/>
    <n v="580.14"/>
    <x v="41"/>
    <s v="18:50"/>
    <s v="Ewallet"/>
    <n v="552.51"/>
    <n v="4.7618999999999998"/>
    <n v="27.63"/>
    <n v="9.6999999999999993"/>
    <x v="41"/>
  </r>
  <r>
    <s v="B861-0673"/>
    <s v="B"/>
    <s v="Mandalay"/>
    <s v="Normal"/>
    <s v="Female"/>
    <s v="Electronic accessories"/>
    <n v="63.98"/>
    <n v="6"/>
    <n v="19.190000000000001"/>
    <n v="403.07"/>
    <x v="51"/>
    <s v="19:55"/>
    <s v="Credit card"/>
    <n v="383.88"/>
    <n v="4.7618999999999998"/>
    <n v="19.190000000000001"/>
    <n v="8.8000000000000007"/>
    <x v="51"/>
  </r>
  <r>
    <s v="A157-0674"/>
    <s v="A"/>
    <s v="Yangon"/>
    <s v="Normal"/>
    <s v="Female"/>
    <s v="Electronic accessories"/>
    <n v="19.61"/>
    <n v="4"/>
    <n v="3.92"/>
    <n v="82.36"/>
    <x v="31"/>
    <s v="17:30"/>
    <s v="Credit card"/>
    <n v="78.44"/>
    <n v="4.7618999999999998"/>
    <n v="3.92"/>
    <n v="9.1999999999999993"/>
    <x v="31"/>
  </r>
  <r>
    <s v="B832-0675"/>
    <s v="B"/>
    <s v="Mandalay"/>
    <s v="Normal"/>
    <s v="Female"/>
    <s v="Home and lifestyle"/>
    <n v="59.12"/>
    <n v="8"/>
    <n v="23.65"/>
    <n v="496.61"/>
    <x v="65"/>
    <s v="13:20"/>
    <s v="Cash"/>
    <n v="472.96"/>
    <n v="4.7618999999999998"/>
    <n v="23.65"/>
    <n v="6.2"/>
    <x v="65"/>
  </r>
  <r>
    <s v="B787-0676"/>
    <s v="B"/>
    <s v="Mandalay"/>
    <s v="Normal"/>
    <s v="Female"/>
    <s v="Fashion accessories"/>
    <n v="97.01"/>
    <n v="10"/>
    <n v="48.51"/>
    <n v="1018.61"/>
    <x v="52"/>
    <s v="20:00"/>
    <s v="Ewallet"/>
    <n v="970.1"/>
    <n v="4.7618999999999998"/>
    <n v="48.51"/>
    <n v="9.5"/>
    <x v="52"/>
  </r>
  <r>
    <s v="A497-0677"/>
    <s v="A"/>
    <s v="Yangon"/>
    <s v="Normal"/>
    <s v="Male"/>
    <s v="Home and lifestyle"/>
    <n v="67.510000000000005"/>
    <n v="6"/>
    <n v="20.25"/>
    <n v="425.31"/>
    <x v="65"/>
    <s v="11:40"/>
    <s v="Cash"/>
    <n v="405.06"/>
    <n v="4.7618999999999998"/>
    <n v="20.25"/>
    <n v="9.1"/>
    <x v="65"/>
  </r>
  <r>
    <s v="A931-0678"/>
    <s v="A"/>
    <s v="Yangon"/>
    <s v="Normal"/>
    <s v="Male"/>
    <s v="Home and lifestyle"/>
    <n v="18.12"/>
    <n v="4"/>
    <n v="3.62"/>
    <n v="76.099999999999994"/>
    <x v="24"/>
    <s v="13:10"/>
    <s v="Credit card"/>
    <n v="72.48"/>
    <n v="4.7618999999999998"/>
    <n v="3.62"/>
    <n v="7.8"/>
    <x v="24"/>
  </r>
  <r>
    <s v="C939-0679"/>
    <s v="C"/>
    <s v="Naypyitaw"/>
    <s v="Normal"/>
    <s v="Female"/>
    <s v="Home and lifestyle"/>
    <n v="87.98"/>
    <n v="8"/>
    <n v="35.19"/>
    <n v="739.03"/>
    <x v="50"/>
    <s v="16:25"/>
    <s v="Ewallet"/>
    <n v="703.84"/>
    <n v="4.7618999999999998"/>
    <n v="35.19"/>
    <n v="6.5"/>
    <x v="50"/>
  </r>
  <r>
    <s v="A128-0680"/>
    <s v="A"/>
    <s v="Yangon"/>
    <s v="Member"/>
    <s v="Male"/>
    <s v="Food and beverages"/>
    <n v="15.97"/>
    <n v="7"/>
    <n v="5.59"/>
    <n v="117.38"/>
    <x v="3"/>
    <s v="18:55"/>
    <s v="Credit card"/>
    <n v="111.79"/>
    <n v="4.7618999999999998"/>
    <n v="5.59"/>
    <n v="6.7"/>
    <x v="3"/>
  </r>
  <r>
    <s v="A213-0681"/>
    <s v="A"/>
    <s v="Yangon"/>
    <s v="Member"/>
    <s v="Male"/>
    <s v="Fashion accessories"/>
    <n v="22.25"/>
    <n v="7"/>
    <n v="7.79"/>
    <n v="163.54"/>
    <x v="30"/>
    <s v="20:20"/>
    <s v="Credit card"/>
    <n v="155.75"/>
    <n v="4.7618999999999998"/>
    <n v="7.79"/>
    <n v="7.5"/>
    <x v="30"/>
  </r>
  <r>
    <s v="A803-0682"/>
    <s v="A"/>
    <s v="Yangon"/>
    <s v="Member"/>
    <s v="Female"/>
    <s v="Food and beverages"/>
    <n v="71.72"/>
    <n v="6"/>
    <n v="21.52"/>
    <n v="451.84"/>
    <x v="68"/>
    <s v="17:55"/>
    <s v="Cash"/>
    <n v="430.32"/>
    <n v="4.7618999999999998"/>
    <n v="21.52"/>
    <n v="5.6"/>
    <x v="68"/>
  </r>
  <r>
    <s v="C123-0683"/>
    <s v="C"/>
    <s v="Naypyitaw"/>
    <s v="Normal"/>
    <s v="Male"/>
    <s v="Electronic accessories"/>
    <n v="17.600000000000001"/>
    <n v="6"/>
    <n v="5.28"/>
    <n v="110.88"/>
    <x v="18"/>
    <s v="16:30"/>
    <s v="Ewallet"/>
    <n v="105.6"/>
    <n v="4.7618999999999998"/>
    <n v="5.28"/>
    <n v="5.3"/>
    <x v="18"/>
  </r>
  <r>
    <s v="C252-0684"/>
    <s v="C"/>
    <s v="Naypyitaw"/>
    <s v="Member"/>
    <s v="Female"/>
    <s v="Sports and travel"/>
    <n v="27.84"/>
    <n v="3"/>
    <n v="4.18"/>
    <n v="87.7"/>
    <x v="73"/>
    <s v="16:45"/>
    <s v="Credit card"/>
    <n v="83.52"/>
    <n v="4.7618999999999998"/>
    <n v="4.18"/>
    <n v="7.6"/>
    <x v="73"/>
  </r>
  <r>
    <s v="A830-0685"/>
    <s v="A"/>
    <s v="Yangon"/>
    <s v="Normal"/>
    <s v="Female"/>
    <s v="Food and beverages"/>
    <n v="20.56"/>
    <n v="9"/>
    <n v="9.25"/>
    <n v="194.29"/>
    <x v="11"/>
    <s v="17:50"/>
    <s v="Credit card"/>
    <n v="185.04"/>
    <n v="4.7618999999999998"/>
    <n v="9.25"/>
    <n v="4.7"/>
    <x v="11"/>
  </r>
  <r>
    <s v="A943-0686"/>
    <s v="A"/>
    <s v="Yangon"/>
    <s v="Member"/>
    <s v="Male"/>
    <s v="Home and lifestyle"/>
    <n v="77.180000000000007"/>
    <n v="7"/>
    <n v="27.01"/>
    <n v="567.27"/>
    <x v="27"/>
    <s v="16:15"/>
    <s v="Ewallet"/>
    <n v="540.26"/>
    <n v="4.7618999999999998"/>
    <n v="27.01"/>
    <n v="5.3"/>
    <x v="27"/>
  </r>
  <r>
    <s v="B354-0687"/>
    <s v="B"/>
    <s v="Mandalay"/>
    <s v="Member"/>
    <s v="Male"/>
    <s v="Electronic accessories"/>
    <n v="46.77"/>
    <n v="3"/>
    <n v="7.02"/>
    <n v="147.33000000000001"/>
    <x v="49"/>
    <s v="14:20"/>
    <s v="Cash"/>
    <n v="140.31"/>
    <n v="4.7618999999999998"/>
    <n v="7.02"/>
    <n v="7.7"/>
    <x v="49"/>
  </r>
  <r>
    <s v="B825-0688"/>
    <s v="B"/>
    <s v="Mandalay"/>
    <s v="Normal"/>
    <s v="Female"/>
    <s v="Health and beauty"/>
    <n v="52.2"/>
    <n v="6"/>
    <n v="15.66"/>
    <n v="328.86"/>
    <x v="81"/>
    <s v="16:50"/>
    <s v="Cash"/>
    <n v="313.2"/>
    <n v="4.7618999999999998"/>
    <n v="15.66"/>
    <n v="8.3000000000000007"/>
    <x v="81"/>
  </r>
  <r>
    <s v="B786-0689"/>
    <s v="B"/>
    <s v="Mandalay"/>
    <s v="Normal"/>
    <s v="Female"/>
    <s v="Health and beauty"/>
    <n v="60.13"/>
    <n v="1"/>
    <n v="3.01"/>
    <n v="63.14"/>
    <x v="51"/>
    <s v="13:35"/>
    <s v="Credit card"/>
    <n v="60.13"/>
    <n v="4.7618999999999998"/>
    <n v="3.01"/>
    <n v="10"/>
    <x v="51"/>
  </r>
  <r>
    <s v="C672-0690"/>
    <s v="C"/>
    <s v="Naypyitaw"/>
    <s v="Member"/>
    <s v="Female"/>
    <s v="Home and lifestyle"/>
    <n v="55.41"/>
    <n v="7"/>
    <n v="19.39"/>
    <n v="407.26"/>
    <x v="24"/>
    <s v="16:50"/>
    <s v="Credit card"/>
    <n v="387.87"/>
    <n v="4.7618999999999998"/>
    <n v="19.39"/>
    <n v="4.8"/>
    <x v="24"/>
  </r>
  <r>
    <s v="A543-0691"/>
    <s v="A"/>
    <s v="Yangon"/>
    <s v="Member"/>
    <s v="Male"/>
    <s v="Electronic accessories"/>
    <n v="55.34"/>
    <n v="6"/>
    <n v="16.600000000000001"/>
    <n v="348.64"/>
    <x v="6"/>
    <s v="12:05"/>
    <s v="Credit card"/>
    <n v="332.04"/>
    <n v="4.7618999999999998"/>
    <n v="16.600000000000001"/>
    <n v="8.3000000000000007"/>
    <x v="6"/>
  </r>
  <r>
    <s v="A389-0692"/>
    <s v="A"/>
    <s v="Yangon"/>
    <s v="Normal"/>
    <s v="Female"/>
    <s v="Home and lifestyle"/>
    <n v="13.97"/>
    <n v="3"/>
    <n v="2.1"/>
    <n v="44.01"/>
    <x v="85"/>
    <s v="14:55"/>
    <s v="Credit card"/>
    <n v="41.91"/>
    <n v="4.7618999999999998"/>
    <n v="2.1"/>
    <n v="9.6"/>
    <x v="85"/>
  </r>
  <r>
    <s v="B550-0693"/>
    <s v="B"/>
    <s v="Mandalay"/>
    <s v="Normal"/>
    <s v="Male"/>
    <s v="Sports and travel"/>
    <n v="90.34"/>
    <n v="6"/>
    <n v="27.1"/>
    <n v="569.14"/>
    <x v="44"/>
    <s v="12:40"/>
    <s v="Ewallet"/>
    <n v="542.04"/>
    <n v="4.7618999999999998"/>
    <n v="27.1"/>
    <n v="7.8"/>
    <x v="44"/>
  </r>
  <r>
    <s v="A218-0694"/>
    <s v="A"/>
    <s v="Yangon"/>
    <s v="Member"/>
    <s v="Female"/>
    <s v="Health and beauty"/>
    <n v="30.69"/>
    <n v="1"/>
    <n v="1.53"/>
    <n v="32.22"/>
    <x v="50"/>
    <s v="14:10"/>
    <s v="Ewallet"/>
    <n v="30.69"/>
    <n v="4.7618999999999998"/>
    <n v="1.53"/>
    <n v="6.8"/>
    <x v="50"/>
  </r>
  <r>
    <s v="B987-0695"/>
    <s v="B"/>
    <s v="Mandalay"/>
    <s v="Member"/>
    <s v="Male"/>
    <s v="Home and lifestyle"/>
    <n v="98.99"/>
    <n v="9"/>
    <n v="44.55"/>
    <n v="935.46"/>
    <x v="44"/>
    <s v="17:35"/>
    <s v="Cash"/>
    <n v="890.91"/>
    <n v="4.7618999999999998"/>
    <n v="44.55"/>
    <n v="9.1"/>
    <x v="44"/>
  </r>
  <r>
    <s v="A676-0696"/>
    <s v="A"/>
    <s v="Yangon"/>
    <s v="Member"/>
    <s v="Male"/>
    <s v="Health and beauty"/>
    <n v="28.34"/>
    <n v="5"/>
    <n v="7.08"/>
    <n v="148.78"/>
    <x v="18"/>
    <s v="12:55"/>
    <s v="Ewallet"/>
    <n v="141.69999999999999"/>
    <n v="4.7618999999999998"/>
    <n v="7.08"/>
    <n v="8.9"/>
    <x v="18"/>
  </r>
  <r>
    <s v="C436-0697"/>
    <s v="C"/>
    <s v="Naypyitaw"/>
    <s v="Member"/>
    <s v="Female"/>
    <s v="Food and beverages"/>
    <n v="79.02"/>
    <n v="3"/>
    <n v="11.85"/>
    <n v="248.91"/>
    <x v="74"/>
    <s v="11:15"/>
    <s v="Credit card"/>
    <n v="237.06"/>
    <n v="4.7618999999999998"/>
    <n v="11.85"/>
    <n v="8.1"/>
    <x v="74"/>
  </r>
  <r>
    <s v="A824-0698"/>
    <s v="A"/>
    <s v="Yangon"/>
    <s v="Normal"/>
    <s v="Female"/>
    <s v="Sports and travel"/>
    <n v="43.62"/>
    <n v="2"/>
    <n v="4.3600000000000003"/>
    <n v="91.6"/>
    <x v="59"/>
    <s v="12:00"/>
    <s v="Cash"/>
    <n v="87.24"/>
    <n v="4.7618999999999998"/>
    <n v="4.3600000000000003"/>
    <n v="6.8"/>
    <x v="59"/>
  </r>
  <r>
    <s v="C563-0699"/>
    <s v="C"/>
    <s v="Naypyitaw"/>
    <s v="Normal"/>
    <s v="Male"/>
    <s v="Fashion accessories"/>
    <n v="95.97"/>
    <n v="10"/>
    <n v="47.99"/>
    <n v="1007.69"/>
    <x v="13"/>
    <s v="10:25"/>
    <s v="Cash"/>
    <n v="959.7"/>
    <n v="4.7618999999999998"/>
    <n v="47.99"/>
    <n v="7.9"/>
    <x v="13"/>
  </r>
  <r>
    <s v="B716-0700"/>
    <s v="B"/>
    <s v="Mandalay"/>
    <s v="Member"/>
    <s v="Female"/>
    <s v="Health and beauty"/>
    <n v="82.14"/>
    <n v="5"/>
    <n v="20.54"/>
    <n v="431.24"/>
    <x v="59"/>
    <s v="10:55"/>
    <s v="Cash"/>
    <n v="410.7"/>
    <n v="4.7618999999999998"/>
    <n v="20.54"/>
    <n v="7.3"/>
    <x v="59"/>
  </r>
  <r>
    <s v="B512-0701"/>
    <s v="B"/>
    <s v="Mandalay"/>
    <s v="Member"/>
    <s v="Male"/>
    <s v="Home and lifestyle"/>
    <n v="26.02"/>
    <n v="7"/>
    <n v="9.11"/>
    <n v="191.25"/>
    <x v="19"/>
    <s v="10:15"/>
    <s v="Cash"/>
    <n v="182.14"/>
    <n v="4.7618999999999998"/>
    <n v="9.11"/>
    <n v="6.3"/>
    <x v="19"/>
  </r>
  <r>
    <s v="B198-0702"/>
    <s v="B"/>
    <s v="Mandalay"/>
    <s v="Member"/>
    <s v="Female"/>
    <s v="Home and lifestyle"/>
    <n v="54.18"/>
    <n v="7"/>
    <n v="18.96"/>
    <n v="398.22"/>
    <x v="12"/>
    <s v="20:45"/>
    <s v="Cash"/>
    <n v="379.26"/>
    <n v="4.7618999999999998"/>
    <n v="18.96"/>
    <n v="6.2"/>
    <x v="12"/>
  </r>
  <r>
    <s v="B532-0703"/>
    <s v="B"/>
    <s v="Mandalay"/>
    <s v="Member"/>
    <s v="Male"/>
    <s v="Sports and travel"/>
    <n v="89.69"/>
    <n v="8"/>
    <n v="35.880000000000003"/>
    <n v="753.4"/>
    <x v="48"/>
    <s v="19:45"/>
    <s v="Credit card"/>
    <n v="717.52"/>
    <n v="4.7618999999999998"/>
    <n v="35.880000000000003"/>
    <n v="4.5"/>
    <x v="48"/>
  </r>
  <r>
    <s v="B802-0704"/>
    <s v="B"/>
    <s v="Mandalay"/>
    <s v="Member"/>
    <s v="Male"/>
    <s v="Fashion accessories"/>
    <n v="48.34"/>
    <n v="1"/>
    <n v="2.42"/>
    <n v="50.76"/>
    <x v="9"/>
    <s v="15:35"/>
    <s v="Ewallet"/>
    <n v="48.34"/>
    <n v="4.7618999999999998"/>
    <n v="2.42"/>
    <n v="5.3"/>
    <x v="9"/>
  </r>
  <r>
    <s v="C920-0705"/>
    <s v="C"/>
    <s v="Naypyitaw"/>
    <s v="Member"/>
    <s v="Male"/>
    <s v="Food and beverages"/>
    <n v="66.66"/>
    <n v="9"/>
    <n v="30"/>
    <n v="629.94000000000005"/>
    <x v="22"/>
    <s v="14:35"/>
    <s v="Credit card"/>
    <n v="599.94000000000005"/>
    <n v="4.7618999999999998"/>
    <n v="30"/>
    <n v="4.5"/>
    <x v="22"/>
  </r>
  <r>
    <s v="B664-0706"/>
    <s v="B"/>
    <s v="Mandalay"/>
    <s v="Normal"/>
    <s v="Female"/>
    <s v="Electronic accessories"/>
    <n v="71.59"/>
    <n v="5"/>
    <n v="17.899999999999999"/>
    <n v="375.85"/>
    <x v="40"/>
    <s v="18:30"/>
    <s v="Credit card"/>
    <n v="357.95"/>
    <n v="4.7618999999999998"/>
    <n v="17.899999999999999"/>
    <n v="7.4"/>
    <x v="40"/>
  </r>
  <r>
    <s v="A463-0707"/>
    <s v="A"/>
    <s v="Yangon"/>
    <s v="Member"/>
    <s v="Female"/>
    <s v="Food and beverages"/>
    <n v="48.24"/>
    <n v="2"/>
    <n v="4.82"/>
    <n v="101.3"/>
    <x v="6"/>
    <s v="20:55"/>
    <s v="Ewallet"/>
    <n v="96.48"/>
    <n v="4.7618999999999998"/>
    <n v="4.82"/>
    <n v="8.9"/>
    <x v="6"/>
  </r>
  <r>
    <s v="B997-0708"/>
    <s v="B"/>
    <s v="Mandalay"/>
    <s v="Member"/>
    <s v="Female"/>
    <s v="Health and beauty"/>
    <n v="76.650000000000006"/>
    <n v="8"/>
    <n v="30.66"/>
    <n v="643.86"/>
    <x v="32"/>
    <s v="12:30"/>
    <s v="Cash"/>
    <n v="613.20000000000005"/>
    <n v="4.7618999999999998"/>
    <n v="30.66"/>
    <n v="4.5"/>
    <x v="32"/>
  </r>
  <r>
    <s v="C180-0709"/>
    <s v="C"/>
    <s v="Naypyitaw"/>
    <s v="Normal"/>
    <s v="Male"/>
    <s v="Food and beverages"/>
    <n v="75.17"/>
    <n v="8"/>
    <n v="30.07"/>
    <n v="631.42999999999995"/>
    <x v="34"/>
    <s v="14:25"/>
    <s v="Cash"/>
    <n v="601.36"/>
    <n v="4.7618999999999998"/>
    <n v="30.07"/>
    <n v="5.3"/>
    <x v="34"/>
  </r>
  <r>
    <s v="C571-0710"/>
    <s v="C"/>
    <s v="Naypyitaw"/>
    <s v="Normal"/>
    <s v="Female"/>
    <s v="Sports and travel"/>
    <n v="58.09"/>
    <n v="1"/>
    <n v="2.9"/>
    <n v="60.99"/>
    <x v="87"/>
    <s v="11:00"/>
    <s v="Cash"/>
    <n v="58.09"/>
    <n v="4.7618999999999998"/>
    <n v="2.9"/>
    <n v="7.9"/>
    <x v="87"/>
  </r>
  <r>
    <s v="C409-0711"/>
    <s v="C"/>
    <s v="Naypyitaw"/>
    <s v="Normal"/>
    <s v="Male"/>
    <s v="Home and lifestyle"/>
    <n v="65.66"/>
    <n v="10"/>
    <n v="32.83"/>
    <n v="689.43"/>
    <x v="53"/>
    <s v="20:55"/>
    <s v="Ewallet"/>
    <n v="656.6"/>
    <n v="4.7618999999999998"/>
    <n v="32.83"/>
    <n v="6.4"/>
    <x v="53"/>
  </r>
  <r>
    <s v="A765-0712"/>
    <s v="A"/>
    <s v="Yangon"/>
    <s v="Member"/>
    <s v="Female"/>
    <s v="Health and beauty"/>
    <n v="27.17"/>
    <n v="1"/>
    <n v="1.36"/>
    <n v="28.53"/>
    <x v="16"/>
    <s v="10:15"/>
    <s v="Credit card"/>
    <n v="27.17"/>
    <n v="4.7618999999999998"/>
    <n v="1.36"/>
    <n v="7.9"/>
    <x v="16"/>
  </r>
  <r>
    <s v="A256-0713"/>
    <s v="A"/>
    <s v="Yangon"/>
    <s v="Normal"/>
    <s v="Female"/>
    <s v="Health and beauty"/>
    <n v="37.08"/>
    <n v="8"/>
    <n v="14.83"/>
    <n v="311.47000000000003"/>
    <x v="8"/>
    <s v="17:30"/>
    <s v="Cash"/>
    <n v="296.64"/>
    <n v="4.7618999999999998"/>
    <n v="14.83"/>
    <n v="4.7"/>
    <x v="8"/>
  </r>
  <r>
    <s v="C953-0714"/>
    <s v="C"/>
    <s v="Naypyitaw"/>
    <s v="Normal"/>
    <s v="Male"/>
    <s v="Sports and travel"/>
    <n v="11.77"/>
    <n v="8"/>
    <n v="4.71"/>
    <n v="98.87"/>
    <x v="21"/>
    <s v="13:15"/>
    <s v="Credit card"/>
    <n v="94.16"/>
    <n v="4.7618999999999998"/>
    <n v="4.71"/>
    <n v="7.4"/>
    <x v="21"/>
  </r>
  <r>
    <s v="B667-0715"/>
    <s v="B"/>
    <s v="Mandalay"/>
    <s v="Member"/>
    <s v="Male"/>
    <s v="Health and beauty"/>
    <n v="19.239999999999998"/>
    <n v="7"/>
    <n v="6.73"/>
    <n v="141.41"/>
    <x v="74"/>
    <s v="17:55"/>
    <s v="Ewallet"/>
    <n v="134.68"/>
    <n v="4.7618999999999998"/>
    <n v="6.73"/>
    <n v="7.6"/>
    <x v="74"/>
  </r>
  <r>
    <s v="B640-0716"/>
    <s v="B"/>
    <s v="Mandalay"/>
    <s v="Member"/>
    <s v="Male"/>
    <s v="Sports and travel"/>
    <n v="53.75"/>
    <n v="10"/>
    <n v="26.88"/>
    <n v="564.38"/>
    <x v="43"/>
    <s v="20:35"/>
    <s v="Cash"/>
    <n v="537.5"/>
    <n v="4.7618999999999998"/>
    <n v="26.88"/>
    <n v="8.3000000000000007"/>
    <x v="43"/>
  </r>
  <r>
    <s v="A455-0717"/>
    <s v="A"/>
    <s v="Yangon"/>
    <s v="Normal"/>
    <s v="Male"/>
    <s v="Food and beverages"/>
    <n v="15.72"/>
    <n v="7"/>
    <n v="5.5"/>
    <n v="115.54"/>
    <x v="50"/>
    <s v="11:35"/>
    <s v="Ewallet"/>
    <n v="110.04"/>
    <n v="4.7618999999999998"/>
    <n v="5.5"/>
    <n v="9.6"/>
    <x v="50"/>
  </r>
  <r>
    <s v="B701-0718"/>
    <s v="B"/>
    <s v="Mandalay"/>
    <s v="Normal"/>
    <s v="Female"/>
    <s v="Electronic accessories"/>
    <n v="35.92"/>
    <n v="4"/>
    <n v="7.18"/>
    <n v="150.86000000000001"/>
    <x v="50"/>
    <s v="15:35"/>
    <s v="Cash"/>
    <n v="143.68"/>
    <n v="4.7618999999999998"/>
    <n v="7.18"/>
    <n v="7"/>
    <x v="50"/>
  </r>
  <r>
    <s v="C583-0719"/>
    <s v="C"/>
    <s v="Naypyitaw"/>
    <s v="Normal"/>
    <s v="Male"/>
    <s v="Electronic accessories"/>
    <n v="89.49"/>
    <n v="7"/>
    <n v="31.32"/>
    <n v="657.75"/>
    <x v="74"/>
    <s v="20:50"/>
    <s v="Ewallet"/>
    <n v="626.42999999999995"/>
    <n v="4.7618999999999998"/>
    <n v="31.32"/>
    <n v="6.2"/>
    <x v="74"/>
  </r>
  <r>
    <s v="A203-0720"/>
    <s v="A"/>
    <s v="Yangon"/>
    <s v="Member"/>
    <s v="Male"/>
    <s v="Fashion accessories"/>
    <n v="77.430000000000007"/>
    <n v="8"/>
    <n v="30.97"/>
    <n v="650.41"/>
    <x v="27"/>
    <s v="12:15"/>
    <s v="Cash"/>
    <n v="619.44000000000005"/>
    <n v="4.7618999999999998"/>
    <n v="30.97"/>
    <n v="7.6"/>
    <x v="27"/>
  </r>
  <r>
    <s v="B278-0721"/>
    <s v="B"/>
    <s v="Mandalay"/>
    <s v="Normal"/>
    <s v="Male"/>
    <s v="Electronic accessories"/>
    <n v="28.85"/>
    <n v="1"/>
    <n v="1.44"/>
    <n v="30.29"/>
    <x v="37"/>
    <s v="15:20"/>
    <s v="Credit card"/>
    <n v="28.85"/>
    <n v="4.7618999999999998"/>
    <n v="1.44"/>
    <n v="8.1"/>
    <x v="37"/>
  </r>
  <r>
    <s v="C448-0722"/>
    <s v="C"/>
    <s v="Naypyitaw"/>
    <s v="Member"/>
    <s v="Female"/>
    <s v="Home and lifestyle"/>
    <n v="48.76"/>
    <n v="10"/>
    <n v="24.38"/>
    <n v="511.98"/>
    <x v="57"/>
    <s v="11:40"/>
    <s v="Cash"/>
    <n v="487.6"/>
    <n v="4.7618999999999998"/>
    <n v="24.38"/>
    <n v="6.9"/>
    <x v="57"/>
  </r>
  <r>
    <s v="B548-0723"/>
    <s v="B"/>
    <s v="Mandalay"/>
    <s v="Member"/>
    <s v="Male"/>
    <s v="Electronic accessories"/>
    <n v="86.81"/>
    <n v="9"/>
    <n v="39.06"/>
    <n v="820.35"/>
    <x v="3"/>
    <s v="20:05"/>
    <s v="Ewallet"/>
    <n v="781.29"/>
    <n v="4.7618999999999998"/>
    <n v="39.06"/>
    <n v="4.3"/>
    <x v="3"/>
  </r>
  <r>
    <s v="B220-0724"/>
    <s v="B"/>
    <s v="Mandalay"/>
    <s v="Member"/>
    <s v="Female"/>
    <s v="Food and beverages"/>
    <n v="64.87"/>
    <n v="2"/>
    <n v="6.49"/>
    <n v="136.22999999999999"/>
    <x v="26"/>
    <s v="10:40"/>
    <s v="Cash"/>
    <n v="129.74"/>
    <n v="4.7618999999999998"/>
    <n v="6.49"/>
    <n v="5"/>
    <x v="26"/>
  </r>
  <r>
    <s v="A472-0725"/>
    <s v="A"/>
    <s v="Yangon"/>
    <s v="Normal"/>
    <s v="Female"/>
    <s v="Fashion accessories"/>
    <n v="36.29"/>
    <n v="8"/>
    <n v="14.52"/>
    <n v="304.83999999999997"/>
    <x v="1"/>
    <s v="17:55"/>
    <s v="Cash"/>
    <n v="290.32"/>
    <n v="4.7618999999999998"/>
    <n v="14.52"/>
    <n v="4.9000000000000004"/>
    <x v="1"/>
  </r>
  <r>
    <s v="B275-0726"/>
    <s v="B"/>
    <s v="Mandalay"/>
    <s v="Member"/>
    <s v="Female"/>
    <s v="Electronic accessories"/>
    <n v="49.52"/>
    <n v="7"/>
    <n v="17.329999999999998"/>
    <n v="363.97"/>
    <x v="78"/>
    <s v="13:35"/>
    <s v="Credit card"/>
    <n v="346.64"/>
    <n v="4.7618999999999998"/>
    <n v="17.329999999999998"/>
    <n v="5.7"/>
    <x v="78"/>
  </r>
  <r>
    <s v="A642-0727"/>
    <s v="A"/>
    <s v="Yangon"/>
    <s v="Normal"/>
    <s v="Male"/>
    <s v="Fashion accessories"/>
    <n v="77.94"/>
    <n v="6"/>
    <n v="23.38"/>
    <n v="491.02"/>
    <x v="58"/>
    <s v="20:15"/>
    <s v="Cash"/>
    <n v="467.64"/>
    <n v="4.7618999999999998"/>
    <n v="23.38"/>
    <n v="8.5"/>
    <x v="58"/>
  </r>
  <r>
    <s v="B553-0728"/>
    <s v="B"/>
    <s v="Mandalay"/>
    <s v="Member"/>
    <s v="Female"/>
    <s v="Sports and travel"/>
    <n v="47.21"/>
    <n v="7"/>
    <n v="16.52"/>
    <n v="346.99"/>
    <x v="45"/>
    <s v="18:50"/>
    <s v="Credit card"/>
    <n v="330.47"/>
    <n v="4.7618999999999998"/>
    <n v="16.52"/>
    <n v="9.6999999999999993"/>
    <x v="45"/>
  </r>
  <r>
    <s v="A776-0729"/>
    <s v="A"/>
    <s v="Yangon"/>
    <s v="Member"/>
    <s v="Female"/>
    <s v="Health and beauty"/>
    <n v="40.450000000000003"/>
    <n v="7"/>
    <n v="14.16"/>
    <n v="297.31"/>
    <x v="38"/>
    <s v="16:00"/>
    <s v="Credit card"/>
    <n v="283.14999999999998"/>
    <n v="4.7618999999999998"/>
    <n v="14.16"/>
    <n v="8.6"/>
    <x v="38"/>
  </r>
  <r>
    <s v="C994-0730"/>
    <s v="C"/>
    <s v="Naypyitaw"/>
    <s v="Member"/>
    <s v="Female"/>
    <s v="Fashion accessories"/>
    <n v="98.2"/>
    <n v="9"/>
    <n v="44.19"/>
    <n v="927.99"/>
    <x v="60"/>
    <s v="16:30"/>
    <s v="Ewallet"/>
    <n v="883.8"/>
    <n v="4.7618999999999998"/>
    <n v="44.19"/>
    <n v="8.1999999999999993"/>
    <x v="60"/>
  </r>
  <r>
    <s v="B310-0731"/>
    <s v="B"/>
    <s v="Mandalay"/>
    <s v="Normal"/>
    <s v="Male"/>
    <s v="Health and beauty"/>
    <n v="84.43"/>
    <n v="9"/>
    <n v="37.99"/>
    <n v="797.86"/>
    <x v="43"/>
    <s v="12:55"/>
    <s v="Credit card"/>
    <n v="759.87"/>
    <n v="4.7618999999999998"/>
    <n v="37.99"/>
    <n v="6.7"/>
    <x v="43"/>
  </r>
  <r>
    <s v="C842-0732"/>
    <s v="C"/>
    <s v="Naypyitaw"/>
    <s v="Normal"/>
    <s v="Male"/>
    <s v="Fashion accessories"/>
    <n v="46.41"/>
    <n v="4"/>
    <n v="9.2799999999999994"/>
    <n v="194.92"/>
    <x v="24"/>
    <s v="11:00"/>
    <s v="Ewallet"/>
    <n v="185.64"/>
    <n v="4.7618999999999998"/>
    <n v="9.2799999999999994"/>
    <n v="6"/>
    <x v="24"/>
  </r>
  <r>
    <s v="C128-0733"/>
    <s v="C"/>
    <s v="Naypyitaw"/>
    <s v="Member"/>
    <s v="Male"/>
    <s v="Electronic accessories"/>
    <n v="18.350000000000001"/>
    <n v="9"/>
    <n v="8.26"/>
    <n v="173.41"/>
    <x v="12"/>
    <s v="18:25"/>
    <s v="Ewallet"/>
    <n v="165.15"/>
    <n v="4.7618999999999998"/>
    <n v="8.26"/>
    <n v="5"/>
    <x v="12"/>
  </r>
  <r>
    <s v="C462-0734"/>
    <s v="C"/>
    <s v="Naypyitaw"/>
    <s v="Normal"/>
    <s v="Female"/>
    <s v="Home and lifestyle"/>
    <n v="75.39"/>
    <n v="9"/>
    <n v="33.93"/>
    <n v="712.44"/>
    <x v="46"/>
    <s v="10:25"/>
    <s v="Credit card"/>
    <n v="678.51"/>
    <n v="4.7618999999999998"/>
    <n v="33.93"/>
    <n v="7.8"/>
    <x v="46"/>
  </r>
  <r>
    <s v="A679-0735"/>
    <s v="A"/>
    <s v="Yangon"/>
    <s v="Member"/>
    <s v="Female"/>
    <s v="Sports and travel"/>
    <n v="36.82"/>
    <n v="1"/>
    <n v="1.84"/>
    <n v="38.659999999999997"/>
    <x v="45"/>
    <s v="15:15"/>
    <s v="Ewallet"/>
    <n v="36.82"/>
    <n v="4.7618999999999998"/>
    <n v="1.84"/>
    <n v="9.9"/>
    <x v="45"/>
  </r>
  <r>
    <s v="C353-0736"/>
    <s v="C"/>
    <s v="Naypyitaw"/>
    <s v="Member"/>
    <s v="Male"/>
    <s v="Home and lifestyle"/>
    <n v="35.61"/>
    <n v="10"/>
    <n v="17.809999999999999"/>
    <n v="373.91"/>
    <x v="61"/>
    <s v="12:55"/>
    <s v="Credit card"/>
    <n v="356.1"/>
    <n v="4.7618999999999998"/>
    <n v="17.809999999999999"/>
    <n v="7.1"/>
    <x v="61"/>
  </r>
  <r>
    <s v="A233-0737"/>
    <s v="A"/>
    <s v="Yangon"/>
    <s v="Normal"/>
    <s v="Female"/>
    <s v="Home and lifestyle"/>
    <n v="50.89"/>
    <n v="3"/>
    <n v="7.63"/>
    <n v="160.30000000000001"/>
    <x v="84"/>
    <s v="16:05"/>
    <s v="Cash"/>
    <n v="152.66999999999999"/>
    <n v="4.7618999999999998"/>
    <n v="7.63"/>
    <n v="4.4000000000000004"/>
    <x v="84"/>
  </r>
  <r>
    <s v="B992-0738"/>
    <s v="B"/>
    <s v="Mandalay"/>
    <s v="Member"/>
    <s v="Male"/>
    <s v="Health and beauty"/>
    <n v="43.24"/>
    <n v="9"/>
    <n v="19.46"/>
    <n v="408.62"/>
    <x v="7"/>
    <s v="19:40"/>
    <s v="Ewallet"/>
    <n v="389.16"/>
    <n v="4.7618999999999998"/>
    <n v="19.46"/>
    <n v="8.6999999999999993"/>
    <x v="7"/>
  </r>
  <r>
    <s v="B828-0739"/>
    <s v="B"/>
    <s v="Mandalay"/>
    <s v="Normal"/>
    <s v="Male"/>
    <s v="Sports and travel"/>
    <n v="72.010000000000005"/>
    <n v="8"/>
    <n v="28.8"/>
    <n v="604.88"/>
    <x v="74"/>
    <s v="12:10"/>
    <s v="Ewallet"/>
    <n v="576.08000000000004"/>
    <n v="4.7618999999999998"/>
    <n v="28.8"/>
    <n v="4.8"/>
    <x v="74"/>
  </r>
  <r>
    <s v="B221-0740"/>
    <s v="B"/>
    <s v="Mandalay"/>
    <s v="Member"/>
    <s v="Female"/>
    <s v="Fashion accessories"/>
    <n v="29.14"/>
    <n v="8"/>
    <n v="11.66"/>
    <n v="244.78"/>
    <x v="52"/>
    <s v="12:40"/>
    <s v="Credit card"/>
    <n v="233.12"/>
    <n v="4.7618999999999998"/>
    <n v="11.66"/>
    <n v="9.5"/>
    <x v="52"/>
  </r>
  <r>
    <s v="C483-0741"/>
    <s v="C"/>
    <s v="Naypyitaw"/>
    <s v="Normal"/>
    <s v="Female"/>
    <s v="Health and beauty"/>
    <n v="43.26"/>
    <n v="5"/>
    <n v="10.82"/>
    <n v="227.12"/>
    <x v="55"/>
    <s v="18:10"/>
    <s v="Cash"/>
    <n v="216.3"/>
    <n v="4.7618999999999998"/>
    <n v="10.82"/>
    <n v="6.2"/>
    <x v="55"/>
  </r>
  <r>
    <s v="B320-0742"/>
    <s v="B"/>
    <s v="Mandalay"/>
    <s v="Normal"/>
    <s v="Male"/>
    <s v="Health and beauty"/>
    <n v="81.209999999999994"/>
    <n v="3"/>
    <n v="12.18"/>
    <n v="255.81"/>
    <x v="14"/>
    <s v="16:00"/>
    <s v="Credit card"/>
    <n v="243.63"/>
    <n v="4.7618999999999998"/>
    <n v="12.18"/>
    <n v="9.3000000000000007"/>
    <x v="14"/>
  </r>
  <r>
    <s v="A563-0743"/>
    <s v="A"/>
    <s v="Yangon"/>
    <s v="Normal"/>
    <s v="Female"/>
    <s v="Health and beauty"/>
    <n v="59.28"/>
    <n v="2"/>
    <n v="5.93"/>
    <n v="124.49"/>
    <x v="55"/>
    <s v="16:35"/>
    <s v="Ewallet"/>
    <n v="118.56"/>
    <n v="4.7618999999999998"/>
    <n v="5.93"/>
    <n v="5.9"/>
    <x v="55"/>
  </r>
  <r>
    <s v="B783-0744"/>
    <s v="B"/>
    <s v="Mandalay"/>
    <s v="Normal"/>
    <s v="Male"/>
    <s v="Fashion accessories"/>
    <n v="85.03"/>
    <n v="3"/>
    <n v="12.75"/>
    <n v="267.83999999999997"/>
    <x v="0"/>
    <s v="18:50"/>
    <s v="Credit card"/>
    <n v="255.09"/>
    <n v="4.7618999999999998"/>
    <n v="12.75"/>
    <n v="8.6"/>
    <x v="0"/>
  </r>
  <r>
    <s v="B146-0745"/>
    <s v="B"/>
    <s v="Mandalay"/>
    <s v="Member"/>
    <s v="Male"/>
    <s v="Health and beauty"/>
    <n v="81.98"/>
    <n v="10"/>
    <n v="40.99"/>
    <n v="860.79"/>
    <x v="29"/>
    <s v="16:15"/>
    <s v="Credit card"/>
    <n v="819.8"/>
    <n v="4.7618999999999998"/>
    <n v="40.99"/>
    <n v="6"/>
    <x v="29"/>
  </r>
  <r>
    <s v="C760-0746"/>
    <s v="C"/>
    <s v="Naypyitaw"/>
    <s v="Normal"/>
    <s v="Male"/>
    <s v="Fashion accessories"/>
    <n v="17.97"/>
    <n v="3"/>
    <n v="2.7"/>
    <n v="56.61"/>
    <x v="49"/>
    <s v="19:50"/>
    <s v="Ewallet"/>
    <n v="53.91"/>
    <n v="4.7618999999999998"/>
    <n v="2.7"/>
    <n v="5.9"/>
    <x v="49"/>
  </r>
  <r>
    <s v="A119-0747"/>
    <s v="A"/>
    <s v="Yangon"/>
    <s v="Member"/>
    <s v="Female"/>
    <s v="Food and beverages"/>
    <n v="58.77"/>
    <n v="1"/>
    <n v="2.94"/>
    <n v="61.71"/>
    <x v="86"/>
    <s v="18:15"/>
    <s v="Credit card"/>
    <n v="58.77"/>
    <n v="4.7618999999999998"/>
    <n v="2.94"/>
    <n v="7"/>
    <x v="86"/>
  </r>
  <r>
    <s v="A511-0748"/>
    <s v="A"/>
    <s v="Yangon"/>
    <s v="Member"/>
    <s v="Female"/>
    <s v="Home and lifestyle"/>
    <n v="80.81"/>
    <n v="4"/>
    <n v="16.16"/>
    <n v="339.4"/>
    <x v="21"/>
    <s v="17:05"/>
    <s v="Ewallet"/>
    <n v="323.24"/>
    <n v="4.7618999999999998"/>
    <n v="16.16"/>
    <n v="7.6"/>
    <x v="21"/>
  </r>
  <r>
    <s v="C193-0749"/>
    <s v="C"/>
    <s v="Naypyitaw"/>
    <s v="Member"/>
    <s v="Male"/>
    <s v="Health and beauty"/>
    <n v="40.6"/>
    <n v="3"/>
    <n v="6.09"/>
    <n v="127.89"/>
    <x v="74"/>
    <s v="10:40"/>
    <s v="Credit card"/>
    <n v="121.8"/>
    <n v="4.7618999999999998"/>
    <n v="6.09"/>
    <n v="6.3"/>
    <x v="74"/>
  </r>
  <r>
    <s v="A160-0750"/>
    <s v="A"/>
    <s v="Yangon"/>
    <s v="Member"/>
    <s v="Female"/>
    <s v="Home and lifestyle"/>
    <n v="22.96"/>
    <n v="5"/>
    <n v="5.74"/>
    <n v="120.54"/>
    <x v="19"/>
    <s v="12:20"/>
    <s v="Credit card"/>
    <n v="114.8"/>
    <n v="4.7618999999999998"/>
    <n v="5.74"/>
    <n v="8.1"/>
    <x v="19"/>
  </r>
  <r>
    <s v="C431-0751"/>
    <s v="C"/>
    <s v="Naypyitaw"/>
    <s v="Normal"/>
    <s v="Female"/>
    <s v="Health and beauty"/>
    <n v="74.2"/>
    <n v="5"/>
    <n v="18.55"/>
    <n v="389.55"/>
    <x v="33"/>
    <s v="11:25"/>
    <s v="Cash"/>
    <n v="371"/>
    <n v="4.7618999999999998"/>
    <n v="18.55"/>
    <n v="6.5"/>
    <x v="33"/>
  </r>
  <r>
    <s v="B494-0752"/>
    <s v="B"/>
    <s v="Mandalay"/>
    <s v="Normal"/>
    <s v="Female"/>
    <s v="Health and beauty"/>
    <n v="28.23"/>
    <n v="10"/>
    <n v="14.12"/>
    <n v="296.42"/>
    <x v="14"/>
    <s v="13:35"/>
    <s v="Ewallet"/>
    <n v="282.3"/>
    <n v="4.7618999999999998"/>
    <n v="14.12"/>
    <n v="8.5"/>
    <x v="14"/>
  </r>
  <r>
    <s v="A119-0753"/>
    <s v="A"/>
    <s v="Yangon"/>
    <s v="Normal"/>
    <s v="Female"/>
    <s v="Home and lifestyle"/>
    <n v="51.83"/>
    <n v="7"/>
    <n v="18.14"/>
    <n v="380.95"/>
    <x v="36"/>
    <s v="17:00"/>
    <s v="Credit card"/>
    <n v="362.81"/>
    <n v="4.7618999999999998"/>
    <n v="18.14"/>
    <n v="7.8"/>
    <x v="36"/>
  </r>
  <r>
    <s v="B751-0754"/>
    <s v="B"/>
    <s v="Mandalay"/>
    <s v="Member"/>
    <s v="Female"/>
    <s v="Food and beverages"/>
    <n v="68.64"/>
    <n v="3"/>
    <n v="10.3"/>
    <n v="216.22"/>
    <x v="24"/>
    <s v="19:30"/>
    <s v="Credit card"/>
    <n v="205.92"/>
    <n v="4.7618999999999998"/>
    <n v="10.3"/>
    <n v="4.5"/>
    <x v="24"/>
  </r>
  <r>
    <s v="C101-0755"/>
    <s v="C"/>
    <s v="Naypyitaw"/>
    <s v="Member"/>
    <s v="Female"/>
    <s v="Home and lifestyle"/>
    <n v="58.64"/>
    <n v="3"/>
    <n v="8.8000000000000007"/>
    <n v="184.72"/>
    <x v="40"/>
    <s v="18:30"/>
    <s v="Ewallet"/>
    <n v="175.92"/>
    <n v="4.7618999999999998"/>
    <n v="8.8000000000000007"/>
    <n v="6.7"/>
    <x v="40"/>
  </r>
  <r>
    <s v="B459-0756"/>
    <s v="B"/>
    <s v="Mandalay"/>
    <s v="Normal"/>
    <s v="Female"/>
    <s v="Health and beauty"/>
    <n v="15.42"/>
    <n v="8"/>
    <n v="6.17"/>
    <n v="129.53"/>
    <x v="48"/>
    <s v="19:20"/>
    <s v="Ewallet"/>
    <n v="123.36"/>
    <n v="4.7618999999999998"/>
    <n v="6.17"/>
    <n v="6.3"/>
    <x v="48"/>
  </r>
  <r>
    <s v="C225-0757"/>
    <s v="C"/>
    <s v="Naypyitaw"/>
    <s v="Member"/>
    <s v="Male"/>
    <s v="Health and beauty"/>
    <n v="24.53"/>
    <n v="9"/>
    <n v="11.04"/>
    <n v="231.81"/>
    <x v="86"/>
    <s v="11:20"/>
    <s v="Cash"/>
    <n v="220.77"/>
    <n v="4.7618999999999998"/>
    <n v="11.04"/>
    <n v="6.4"/>
    <x v="86"/>
  </r>
  <r>
    <s v="A824-0758"/>
    <s v="A"/>
    <s v="Yangon"/>
    <s v="Normal"/>
    <s v="Male"/>
    <s v="Electronic accessories"/>
    <n v="64.94"/>
    <n v="6"/>
    <n v="19.48"/>
    <n v="409.12"/>
    <x v="65"/>
    <s v="15:50"/>
    <s v="Credit card"/>
    <n v="389.64"/>
    <n v="4.7618999999999998"/>
    <n v="19.48"/>
    <n v="9.9"/>
    <x v="65"/>
  </r>
  <r>
    <s v="B808-0759"/>
    <s v="B"/>
    <s v="Mandalay"/>
    <s v="Normal"/>
    <s v="Female"/>
    <s v="Fashion accessories"/>
    <n v="98.47"/>
    <n v="6"/>
    <n v="29.54"/>
    <n v="620.36"/>
    <x v="83"/>
    <s v="17:45"/>
    <s v="Credit card"/>
    <n v="590.82000000000005"/>
    <n v="4.7618999999999998"/>
    <n v="29.54"/>
    <n v="4.0999999999999996"/>
    <x v="83"/>
  </r>
  <r>
    <s v="A502-0760"/>
    <s v="A"/>
    <s v="Yangon"/>
    <s v="Member"/>
    <s v="Male"/>
    <s v="Health and beauty"/>
    <n v="91.13"/>
    <n v="3"/>
    <n v="13.67"/>
    <n v="287.06"/>
    <x v="29"/>
    <s v="18:55"/>
    <s v="Ewallet"/>
    <n v="273.39"/>
    <n v="4.7618999999999998"/>
    <n v="13.67"/>
    <n v="6.9"/>
    <x v="29"/>
  </r>
  <r>
    <s v="C466-0761"/>
    <s v="C"/>
    <s v="Naypyitaw"/>
    <s v="Member"/>
    <s v="Female"/>
    <s v="Food and beverages"/>
    <n v="12.79"/>
    <n v="8"/>
    <n v="5.12"/>
    <n v="107.44"/>
    <x v="61"/>
    <s v="11:25"/>
    <s v="Credit card"/>
    <n v="102.32"/>
    <n v="4.7618999999999998"/>
    <n v="5.12"/>
    <n v="9"/>
    <x v="61"/>
  </r>
  <r>
    <s v="B387-0762"/>
    <s v="B"/>
    <s v="Mandalay"/>
    <s v="Member"/>
    <s v="Female"/>
    <s v="Health and beauty"/>
    <n v="51.64"/>
    <n v="4"/>
    <n v="10.33"/>
    <n v="216.89"/>
    <x v="64"/>
    <s v="10:15"/>
    <s v="Ewallet"/>
    <n v="206.56"/>
    <n v="4.7618999999999998"/>
    <n v="10.33"/>
    <n v="4.0999999999999996"/>
    <x v="64"/>
  </r>
  <r>
    <s v="C604-0763"/>
    <s v="C"/>
    <s v="Naypyitaw"/>
    <s v="Normal"/>
    <s v="Female"/>
    <s v="Health and beauty"/>
    <n v="83.47"/>
    <n v="5"/>
    <n v="20.87"/>
    <n v="438.22"/>
    <x v="88"/>
    <s v="13:35"/>
    <s v="Credit card"/>
    <n v="417.35"/>
    <n v="4.7618999999999998"/>
    <n v="20.87"/>
    <n v="4.2"/>
    <x v="88"/>
  </r>
  <r>
    <s v="C665-0764"/>
    <s v="C"/>
    <s v="Naypyitaw"/>
    <s v="Member"/>
    <s v="Female"/>
    <s v="Electronic accessories"/>
    <n v="98.58"/>
    <n v="7"/>
    <n v="34.5"/>
    <n v="724.56"/>
    <x v="46"/>
    <s v="14:45"/>
    <s v="Ewallet"/>
    <n v="690.06"/>
    <n v="4.7618999999999998"/>
    <n v="34.5"/>
    <n v="7"/>
    <x v="46"/>
  </r>
  <r>
    <s v="A846-0765"/>
    <s v="A"/>
    <s v="Yangon"/>
    <s v="Member"/>
    <s v="Female"/>
    <s v="Food and beverages"/>
    <n v="21.54"/>
    <n v="2"/>
    <n v="2.15"/>
    <n v="45.23"/>
    <x v="27"/>
    <s v="14:45"/>
    <s v="Cash"/>
    <n v="43.08"/>
    <n v="4.7618999999999998"/>
    <n v="2.15"/>
    <n v="9.3000000000000007"/>
    <x v="27"/>
  </r>
  <r>
    <s v="B537-0766"/>
    <s v="B"/>
    <s v="Mandalay"/>
    <s v="Member"/>
    <s v="Female"/>
    <s v="Fashion accessories"/>
    <n v="71"/>
    <n v="10"/>
    <n v="35.5"/>
    <n v="745.5"/>
    <x v="39"/>
    <s v="20:40"/>
    <s v="Credit card"/>
    <n v="710"/>
    <n v="4.7618999999999998"/>
    <n v="35.5"/>
    <n v="4"/>
    <x v="39"/>
  </r>
  <r>
    <s v="C470-0767"/>
    <s v="C"/>
    <s v="Naypyitaw"/>
    <s v="Member"/>
    <s v="Male"/>
    <s v="Sports and travel"/>
    <n v="85.99"/>
    <n v="7"/>
    <n v="30.1"/>
    <n v="632.03"/>
    <x v="31"/>
    <s v="11:50"/>
    <s v="Ewallet"/>
    <n v="601.92999999999995"/>
    <n v="4.7618999999999998"/>
    <n v="30.1"/>
    <n v="6.8"/>
    <x v="31"/>
  </r>
  <r>
    <s v="C442-0768"/>
    <s v="C"/>
    <s v="Naypyitaw"/>
    <s v="Member"/>
    <s v="Female"/>
    <s v="Health and beauty"/>
    <n v="35.01"/>
    <n v="7"/>
    <n v="12.25"/>
    <n v="257.32"/>
    <x v="71"/>
    <s v="17:25"/>
    <s v="Cash"/>
    <n v="245.07"/>
    <n v="4.7618999999999998"/>
    <n v="12.25"/>
    <n v="6.4"/>
    <x v="71"/>
  </r>
  <r>
    <s v="A741-0769"/>
    <s v="A"/>
    <s v="Yangon"/>
    <s v="Member"/>
    <s v="Female"/>
    <s v="Fashion accessories"/>
    <n v="48.14"/>
    <n v="2"/>
    <n v="4.8099999999999996"/>
    <n v="101.09"/>
    <x v="40"/>
    <s v="13:10"/>
    <s v="Credit card"/>
    <n v="96.28"/>
    <n v="4.7618999999999998"/>
    <n v="4.8099999999999996"/>
    <n v="5.9"/>
    <x v="40"/>
  </r>
  <r>
    <s v="C584-0770"/>
    <s v="C"/>
    <s v="Naypyitaw"/>
    <s v="Member"/>
    <s v="Female"/>
    <s v="Sports and travel"/>
    <n v="48.88"/>
    <n v="1"/>
    <n v="2.44"/>
    <n v="51.32"/>
    <x v="14"/>
    <s v="20:25"/>
    <s v="Credit card"/>
    <n v="48.88"/>
    <n v="4.7618999999999998"/>
    <n v="2.44"/>
    <n v="5.5"/>
    <x v="14"/>
  </r>
  <r>
    <s v="A740-0771"/>
    <s v="A"/>
    <s v="Yangon"/>
    <s v="Normal"/>
    <s v="Female"/>
    <s v="Home and lifestyle"/>
    <n v="56.77"/>
    <n v="4"/>
    <n v="11.35"/>
    <n v="238.43"/>
    <x v="15"/>
    <s v="19:45"/>
    <s v="Credit card"/>
    <n v="227.08"/>
    <n v="4.7618999999999998"/>
    <n v="11.35"/>
    <n v="8.6"/>
    <x v="15"/>
  </r>
  <r>
    <s v="B552-0772"/>
    <s v="B"/>
    <s v="Mandalay"/>
    <s v="Member"/>
    <s v="Female"/>
    <s v="Health and beauty"/>
    <n v="92.5"/>
    <n v="7"/>
    <n v="32.380000000000003"/>
    <n v="679.88"/>
    <x v="56"/>
    <s v="11:10"/>
    <s v="Cash"/>
    <n v="647.5"/>
    <n v="4.7618999999999998"/>
    <n v="32.380000000000003"/>
    <n v="9.5"/>
    <x v="56"/>
  </r>
  <r>
    <s v="A732-0773"/>
    <s v="A"/>
    <s v="Yangon"/>
    <s v="Normal"/>
    <s v="Male"/>
    <s v="Health and beauty"/>
    <n v="19.16"/>
    <n v="1"/>
    <n v="0.96"/>
    <n v="20.12"/>
    <x v="26"/>
    <s v="10:20"/>
    <s v="Credit card"/>
    <n v="19.16"/>
    <n v="4.7618999999999998"/>
    <n v="0.96"/>
    <n v="6.4"/>
    <x v="26"/>
  </r>
  <r>
    <s v="B791-0774"/>
    <s v="B"/>
    <s v="Mandalay"/>
    <s v="Member"/>
    <s v="Female"/>
    <s v="Sports and travel"/>
    <n v="44.55"/>
    <n v="7"/>
    <n v="15.59"/>
    <n v="327.44"/>
    <x v="34"/>
    <s v="19:05"/>
    <s v="Credit card"/>
    <n v="311.85000000000002"/>
    <n v="4.7618999999999998"/>
    <n v="15.59"/>
    <n v="7.9"/>
    <x v="34"/>
  </r>
  <r>
    <s v="A960-0775"/>
    <s v="A"/>
    <s v="Yangon"/>
    <s v="Normal"/>
    <s v="Male"/>
    <s v="Food and beverages"/>
    <n v="27.32"/>
    <n v="2"/>
    <n v="2.73"/>
    <n v="57.37"/>
    <x v="77"/>
    <s v="19:55"/>
    <s v="Cash"/>
    <n v="54.64"/>
    <n v="4.7618999999999998"/>
    <n v="2.73"/>
    <n v="7.6"/>
    <x v="77"/>
  </r>
  <r>
    <s v="A161-0776"/>
    <s v="A"/>
    <s v="Yangon"/>
    <s v="Member"/>
    <s v="Male"/>
    <s v="Home and lifestyle"/>
    <n v="47.89"/>
    <n v="10"/>
    <n v="23.95"/>
    <n v="502.85"/>
    <x v="64"/>
    <s v="12:15"/>
    <s v="Cash"/>
    <n v="478.9"/>
    <n v="4.7618999999999998"/>
    <n v="23.95"/>
    <n v="8.8000000000000007"/>
    <x v="64"/>
  </r>
  <r>
    <s v="A416-0777"/>
    <s v="A"/>
    <s v="Yangon"/>
    <s v="Normal"/>
    <s v="Male"/>
    <s v="Food and beverages"/>
    <n v="96.38"/>
    <n v="6"/>
    <n v="28.91"/>
    <n v="607.19000000000005"/>
    <x v="12"/>
    <s v="19:40"/>
    <s v="Cash"/>
    <n v="578.28"/>
    <n v="4.7618999999999998"/>
    <n v="28.91"/>
    <n v="4.9000000000000004"/>
    <x v="12"/>
  </r>
  <r>
    <s v="C619-0778"/>
    <s v="C"/>
    <s v="Naypyitaw"/>
    <s v="Normal"/>
    <s v="Male"/>
    <s v="Home and lifestyle"/>
    <n v="97.32"/>
    <n v="9"/>
    <n v="43.79"/>
    <n v="919.67"/>
    <x v="14"/>
    <s v="20:50"/>
    <s v="Cash"/>
    <n v="875.88"/>
    <n v="4.7618999999999998"/>
    <n v="43.79"/>
    <n v="4.3"/>
    <x v="14"/>
  </r>
  <r>
    <s v="C587-0779"/>
    <s v="C"/>
    <s v="Naypyitaw"/>
    <s v="Member"/>
    <s v="Male"/>
    <s v="Home and lifestyle"/>
    <n v="27.59"/>
    <n v="4"/>
    <n v="5.52"/>
    <n v="115.88"/>
    <x v="5"/>
    <s v="13:05"/>
    <s v="Credit card"/>
    <n v="110.36"/>
    <n v="4.7618999999999998"/>
    <n v="5.52"/>
    <n v="5.0999999999999996"/>
    <x v="5"/>
  </r>
  <r>
    <s v="C565-0780"/>
    <s v="C"/>
    <s v="Naypyitaw"/>
    <s v="Normal"/>
    <s v="Male"/>
    <s v="Food and beverages"/>
    <n v="60.95"/>
    <n v="6"/>
    <n v="18.29"/>
    <n v="383.99"/>
    <x v="43"/>
    <s v="14:30"/>
    <s v="Credit card"/>
    <n v="365.7"/>
    <n v="4.7618999999999998"/>
    <n v="18.29"/>
    <n v="5"/>
    <x v="43"/>
  </r>
  <r>
    <s v="A886-0781"/>
    <s v="A"/>
    <s v="Yangon"/>
    <s v="Normal"/>
    <s v="Female"/>
    <s v="Health and beauty"/>
    <n v="67.489999999999995"/>
    <n v="4"/>
    <n v="13.5"/>
    <n v="283.45999999999998"/>
    <x v="6"/>
    <s v="19:15"/>
    <s v="Cash"/>
    <n v="269.95999999999998"/>
    <n v="4.7618999999999998"/>
    <n v="13.5"/>
    <n v="6.9"/>
    <x v="6"/>
  </r>
  <r>
    <s v="B217-0782"/>
    <s v="B"/>
    <s v="Mandalay"/>
    <s v="Normal"/>
    <s v="Female"/>
    <s v="Sports and travel"/>
    <n v="26.58"/>
    <n v="1"/>
    <n v="1.33"/>
    <n v="27.91"/>
    <x v="53"/>
    <s v="10:05"/>
    <s v="Credit card"/>
    <n v="26.58"/>
    <n v="4.7618999999999998"/>
    <n v="1.33"/>
    <n v="4.2"/>
    <x v="53"/>
  </r>
  <r>
    <s v="A324-0783"/>
    <s v="A"/>
    <s v="Yangon"/>
    <s v="Normal"/>
    <s v="Male"/>
    <s v="Electronic accessories"/>
    <n v="66.819999999999993"/>
    <n v="6"/>
    <n v="20.05"/>
    <n v="420.97"/>
    <x v="55"/>
    <s v="10:15"/>
    <s v="Cash"/>
    <n v="400.92"/>
    <n v="4.7618999999999998"/>
    <n v="20.05"/>
    <n v="5.7"/>
    <x v="55"/>
  </r>
  <r>
    <s v="B793-0784"/>
    <s v="B"/>
    <s v="Mandalay"/>
    <s v="Member"/>
    <s v="Male"/>
    <s v="Food and beverages"/>
    <n v="32.14"/>
    <n v="4"/>
    <n v="6.43"/>
    <n v="134.99"/>
    <x v="37"/>
    <s v="12:20"/>
    <s v="Cash"/>
    <n v="128.56"/>
    <n v="4.7618999999999998"/>
    <n v="6.43"/>
    <n v="4.0999999999999996"/>
    <x v="37"/>
  </r>
  <r>
    <s v="A639-0785"/>
    <s v="A"/>
    <s v="Yangon"/>
    <s v="Normal"/>
    <s v="Female"/>
    <s v="Home and lifestyle"/>
    <n v="94.25"/>
    <n v="5"/>
    <n v="23.56"/>
    <n v="494.81"/>
    <x v="45"/>
    <s v="13:25"/>
    <s v="Credit card"/>
    <n v="471.25"/>
    <n v="4.7618999999999998"/>
    <n v="23.56"/>
    <n v="8"/>
    <x v="45"/>
  </r>
  <r>
    <s v="C425-0786"/>
    <s v="C"/>
    <s v="Naypyitaw"/>
    <s v="Normal"/>
    <s v="Female"/>
    <s v="Health and beauty"/>
    <n v="23"/>
    <n v="3"/>
    <n v="3.45"/>
    <n v="72.45"/>
    <x v="16"/>
    <s v="13:40"/>
    <s v="Credit card"/>
    <n v="69"/>
    <n v="4.7618999999999998"/>
    <n v="3.45"/>
    <n v="8.1999999999999993"/>
    <x v="16"/>
  </r>
  <r>
    <s v="C154-0787"/>
    <s v="C"/>
    <s v="Naypyitaw"/>
    <s v="Normal"/>
    <s v="Female"/>
    <s v="Health and beauty"/>
    <n v="78.680000000000007"/>
    <n v="10"/>
    <n v="39.340000000000003"/>
    <n v="826.14"/>
    <x v="16"/>
    <s v="18:20"/>
    <s v="Cash"/>
    <n v="786.8"/>
    <n v="4.7618999999999998"/>
    <n v="39.340000000000003"/>
    <n v="6"/>
    <x v="16"/>
  </r>
  <r>
    <s v="C271-0788"/>
    <s v="C"/>
    <s v="Naypyitaw"/>
    <s v="Normal"/>
    <s v="Female"/>
    <s v="Food and beverages"/>
    <n v="97.15"/>
    <n v="8"/>
    <n v="38.86"/>
    <n v="816.06"/>
    <x v="83"/>
    <s v="11:35"/>
    <s v="Ewallet"/>
    <n v="777.2"/>
    <n v="4.7618999999999998"/>
    <n v="38.86"/>
    <n v="7.7"/>
    <x v="83"/>
  </r>
  <r>
    <s v="C606-0789"/>
    <s v="C"/>
    <s v="Naypyitaw"/>
    <s v="Normal"/>
    <s v="Male"/>
    <s v="Sports and travel"/>
    <n v="56.7"/>
    <n v="3"/>
    <n v="8.51"/>
    <n v="178.61"/>
    <x v="59"/>
    <s v="15:40"/>
    <s v="Ewallet"/>
    <n v="170.1"/>
    <n v="4.7618999999999998"/>
    <n v="8.51"/>
    <n v="6.9"/>
    <x v="59"/>
  </r>
  <r>
    <s v="B562-0790"/>
    <s v="B"/>
    <s v="Mandalay"/>
    <s v="Normal"/>
    <s v="Male"/>
    <s v="Fashion accessories"/>
    <n v="92.91"/>
    <n v="10"/>
    <n v="46.46"/>
    <n v="975.56"/>
    <x v="62"/>
    <s v="10:15"/>
    <s v="Cash"/>
    <n v="929.1"/>
    <n v="4.7618999999999998"/>
    <n v="46.46"/>
    <n v="9.4"/>
    <x v="62"/>
  </r>
  <r>
    <s v="A237-0791"/>
    <s v="A"/>
    <s v="Yangon"/>
    <s v="Normal"/>
    <s v="Female"/>
    <s v="Home and lifestyle"/>
    <n v="48.25"/>
    <n v="7"/>
    <n v="16.89"/>
    <n v="354.64"/>
    <x v="4"/>
    <s v="12:25"/>
    <s v="Credit card"/>
    <n v="337.75"/>
    <n v="4.7618999999999998"/>
    <n v="16.89"/>
    <n v="7.3"/>
    <x v="4"/>
  </r>
  <r>
    <s v="A561-0792"/>
    <s v="A"/>
    <s v="Yangon"/>
    <s v="Normal"/>
    <s v="Male"/>
    <s v="Food and beverages"/>
    <n v="41.64"/>
    <n v="10"/>
    <n v="20.82"/>
    <n v="437.22"/>
    <x v="55"/>
    <s v="17:40"/>
    <s v="Ewallet"/>
    <n v="416.4"/>
    <n v="4.7618999999999998"/>
    <n v="20.82"/>
    <n v="6"/>
    <x v="55"/>
  </r>
  <r>
    <s v="B371-0793"/>
    <s v="B"/>
    <s v="Mandalay"/>
    <s v="Normal"/>
    <s v="Male"/>
    <s v="Home and lifestyle"/>
    <n v="82.41"/>
    <n v="6"/>
    <n v="24.72"/>
    <n v="519.17999999999995"/>
    <x v="48"/>
    <s v="16:00"/>
    <s v="Cash"/>
    <n v="494.46"/>
    <n v="4.7618999999999998"/>
    <n v="24.72"/>
    <n v="6.7"/>
    <x v="48"/>
  </r>
  <r>
    <s v="C333-0794"/>
    <s v="C"/>
    <s v="Naypyitaw"/>
    <s v="Member"/>
    <s v="Male"/>
    <s v="Health and beauty"/>
    <n v="36.51"/>
    <n v="9"/>
    <n v="16.43"/>
    <n v="345.02"/>
    <x v="9"/>
    <s v="18:50"/>
    <s v="Cash"/>
    <n v="328.59"/>
    <n v="4.7618999999999998"/>
    <n v="16.43"/>
    <n v="8.6999999999999993"/>
    <x v="9"/>
  </r>
  <r>
    <s v="A863-0795"/>
    <s v="A"/>
    <s v="Yangon"/>
    <s v="Member"/>
    <s v="Female"/>
    <s v="Home and lifestyle"/>
    <n v="13.45"/>
    <n v="4"/>
    <n v="2.69"/>
    <n v="56.49"/>
    <x v="51"/>
    <s v="13:50"/>
    <s v="Credit card"/>
    <n v="53.8"/>
    <n v="4.7618999999999998"/>
    <n v="2.69"/>
    <n v="5.5"/>
    <x v="51"/>
  </r>
  <r>
    <s v="C454-0796"/>
    <s v="C"/>
    <s v="Naypyitaw"/>
    <s v="Normal"/>
    <s v="Female"/>
    <s v="Fashion accessories"/>
    <n v="64.36"/>
    <n v="3"/>
    <n v="9.65"/>
    <n v="202.73"/>
    <x v="63"/>
    <s v="14:00"/>
    <s v="Credit card"/>
    <n v="193.08"/>
    <n v="4.7618999999999998"/>
    <n v="9.65"/>
    <n v="5.7"/>
    <x v="63"/>
  </r>
  <r>
    <s v="B585-0797"/>
    <s v="B"/>
    <s v="Mandalay"/>
    <s v="Normal"/>
    <s v="Female"/>
    <s v="Sports and travel"/>
    <n v="68.87"/>
    <n v="3"/>
    <n v="10.33"/>
    <n v="216.94"/>
    <x v="87"/>
    <s v="13:15"/>
    <s v="Ewallet"/>
    <n v="206.61"/>
    <n v="4.7618999999999998"/>
    <n v="10.33"/>
    <n v="8.5"/>
    <x v="87"/>
  </r>
  <r>
    <s v="A560-0798"/>
    <s v="A"/>
    <s v="Yangon"/>
    <s v="Normal"/>
    <s v="Male"/>
    <s v="Home and lifestyle"/>
    <n v="81.27"/>
    <n v="6"/>
    <n v="24.38"/>
    <n v="512"/>
    <x v="16"/>
    <s v="16:55"/>
    <s v="Credit card"/>
    <n v="487.62"/>
    <n v="4.7618999999999998"/>
    <n v="24.38"/>
    <n v="5.3"/>
    <x v="16"/>
  </r>
  <r>
    <s v="C447-0799"/>
    <s v="C"/>
    <s v="Naypyitaw"/>
    <s v="Member"/>
    <s v="Male"/>
    <s v="Electronic accessories"/>
    <n v="61.98"/>
    <n v="3"/>
    <n v="9.3000000000000007"/>
    <n v="195.24"/>
    <x v="12"/>
    <s v="10:35"/>
    <s v="Ewallet"/>
    <n v="185.94"/>
    <n v="4.7618999999999998"/>
    <n v="9.3000000000000007"/>
    <n v="9"/>
    <x v="12"/>
  </r>
  <r>
    <s v="A132-0800"/>
    <s v="A"/>
    <s v="Yangon"/>
    <s v="Normal"/>
    <s v="Male"/>
    <s v="Fashion accessories"/>
    <n v="77.739999999999995"/>
    <n v="9"/>
    <n v="34.979999999999997"/>
    <n v="734.64"/>
    <x v="24"/>
    <s v="15:45"/>
    <s v="Cash"/>
    <n v="699.66"/>
    <n v="4.7618999999999998"/>
    <n v="34.979999999999997"/>
    <n v="7.4"/>
    <x v="24"/>
  </r>
  <r>
    <s v="A500-0801"/>
    <s v="A"/>
    <s v="Yangon"/>
    <s v="Member"/>
    <s v="Male"/>
    <s v="Food and beverages"/>
    <n v="66.69"/>
    <n v="10"/>
    <n v="33.340000000000003"/>
    <n v="700.24"/>
    <x v="3"/>
    <s v="19:30"/>
    <s v="Credit card"/>
    <n v="666.9"/>
    <n v="4.7618999999999998"/>
    <n v="33.340000000000003"/>
    <n v="5.2"/>
    <x v="3"/>
  </r>
  <r>
    <s v="A791-0802"/>
    <s v="A"/>
    <s v="Yangon"/>
    <s v="Normal"/>
    <s v="Female"/>
    <s v="Sports and travel"/>
    <n v="19.78"/>
    <n v="10"/>
    <n v="9.89"/>
    <n v="207.69"/>
    <x v="68"/>
    <s v="20:20"/>
    <s v="Cash"/>
    <n v="197.8"/>
    <n v="4.7618999999999998"/>
    <n v="9.89"/>
    <n v="5"/>
    <x v="68"/>
  </r>
  <r>
    <s v="C338-0803"/>
    <s v="C"/>
    <s v="Naypyitaw"/>
    <s v="Member"/>
    <s v="Female"/>
    <s v="Fashion accessories"/>
    <n v="64.3"/>
    <n v="1"/>
    <n v="3.21"/>
    <n v="67.510000000000005"/>
    <x v="18"/>
    <s v="13:05"/>
    <s v="Credit card"/>
    <n v="64.3"/>
    <n v="4.7618999999999998"/>
    <n v="3.21"/>
    <n v="5.7"/>
    <x v="18"/>
  </r>
  <r>
    <s v="B213-0804"/>
    <s v="B"/>
    <s v="Mandalay"/>
    <s v="Member"/>
    <s v="Male"/>
    <s v="Health and beauty"/>
    <n v="43.18"/>
    <n v="1"/>
    <n v="2.16"/>
    <n v="45.34"/>
    <x v="38"/>
    <s v="15:30"/>
    <s v="Credit card"/>
    <n v="43.18"/>
    <n v="4.7618999999999998"/>
    <n v="2.16"/>
    <n v="4.9000000000000004"/>
    <x v="38"/>
  </r>
  <r>
    <s v="A780-0805"/>
    <s v="A"/>
    <s v="Yangon"/>
    <s v="Normal"/>
    <s v="Male"/>
    <s v="Fashion accessories"/>
    <n v="16.190000000000001"/>
    <n v="4"/>
    <n v="3.24"/>
    <n v="68"/>
    <x v="27"/>
    <s v="13:20"/>
    <s v="Credit card"/>
    <n v="64.760000000000005"/>
    <n v="4.7618999999999998"/>
    <n v="3.24"/>
    <n v="8.9"/>
    <x v="27"/>
  </r>
  <r>
    <s v="B944-0806"/>
    <s v="B"/>
    <s v="Mandalay"/>
    <s v="Member"/>
    <s v="Male"/>
    <s v="Food and beverages"/>
    <n v="28.27"/>
    <n v="8"/>
    <n v="11.31"/>
    <n v="237.47"/>
    <x v="31"/>
    <s v="13:00"/>
    <s v="Cash"/>
    <n v="226.16"/>
    <n v="4.7618999999999998"/>
    <n v="11.31"/>
    <n v="6.7"/>
    <x v="31"/>
  </r>
  <r>
    <s v="B761-0807"/>
    <s v="B"/>
    <s v="Mandalay"/>
    <s v="Member"/>
    <s v="Male"/>
    <s v="Food and beverages"/>
    <n v="89.13"/>
    <n v="8"/>
    <n v="35.65"/>
    <n v="748.69"/>
    <x v="6"/>
    <s v="19:00"/>
    <s v="Ewallet"/>
    <n v="713.04"/>
    <n v="4.7618999999999998"/>
    <n v="35.65"/>
    <n v="4.5"/>
    <x v="6"/>
  </r>
  <r>
    <s v="B568-0808"/>
    <s v="B"/>
    <s v="Mandalay"/>
    <s v="Normal"/>
    <s v="Male"/>
    <s v="Sports and travel"/>
    <n v="65.17"/>
    <n v="3"/>
    <n v="9.7799999999999994"/>
    <n v="205.29"/>
    <x v="74"/>
    <s v="13:10"/>
    <s v="Ewallet"/>
    <n v="195.51"/>
    <n v="4.7618999999999998"/>
    <n v="9.7799999999999994"/>
    <n v="8.4"/>
    <x v="74"/>
  </r>
  <r>
    <s v="B782-0809"/>
    <s v="B"/>
    <s v="Mandalay"/>
    <s v="Member"/>
    <s v="Female"/>
    <s v="Sports and travel"/>
    <n v="72.88"/>
    <n v="1"/>
    <n v="3.64"/>
    <n v="76.52"/>
    <x v="35"/>
    <s v="12:20"/>
    <s v="Ewallet"/>
    <n v="72.88"/>
    <n v="4.7618999999999998"/>
    <n v="3.64"/>
    <n v="7.2"/>
    <x v="35"/>
  </r>
  <r>
    <s v="A898-0810"/>
    <s v="A"/>
    <s v="Yangon"/>
    <s v="Member"/>
    <s v="Male"/>
    <s v="Sports and travel"/>
    <n v="99.32"/>
    <n v="9"/>
    <n v="44.69"/>
    <n v="938.57"/>
    <x v="41"/>
    <s v="15:05"/>
    <s v="Cash"/>
    <n v="893.88"/>
    <n v="4.7618999999999998"/>
    <n v="44.69"/>
    <n v="7"/>
    <x v="41"/>
  </r>
  <r>
    <s v="B791-0811"/>
    <s v="B"/>
    <s v="Mandalay"/>
    <s v="Normal"/>
    <s v="Male"/>
    <s v="Electronic accessories"/>
    <n v="32.75"/>
    <n v="9"/>
    <n v="14.74"/>
    <n v="309.49"/>
    <x v="55"/>
    <s v="17:00"/>
    <s v="Cash"/>
    <n v="294.75"/>
    <n v="4.7618999999999998"/>
    <n v="14.74"/>
    <n v="7.8"/>
    <x v="55"/>
  </r>
  <r>
    <s v="C239-0812"/>
    <s v="C"/>
    <s v="Naypyitaw"/>
    <s v="Normal"/>
    <s v="Male"/>
    <s v="Home and lifestyle"/>
    <n v="77.14"/>
    <n v="4"/>
    <n v="15.43"/>
    <n v="323.99"/>
    <x v="87"/>
    <s v="10:00"/>
    <s v="Credit card"/>
    <n v="308.56"/>
    <n v="4.7618999999999998"/>
    <n v="15.43"/>
    <n v="4.7"/>
    <x v="87"/>
  </r>
  <r>
    <s v="B940-0813"/>
    <s v="B"/>
    <s v="Mandalay"/>
    <s v="Normal"/>
    <s v="Male"/>
    <s v="Sports and travel"/>
    <n v="16.14"/>
    <n v="9"/>
    <n v="7.26"/>
    <n v="152.52000000000001"/>
    <x v="13"/>
    <s v="13:55"/>
    <s v="Credit card"/>
    <n v="145.26"/>
    <n v="4.7618999999999998"/>
    <n v="7.26"/>
    <n v="4.8"/>
    <x v="13"/>
  </r>
  <r>
    <s v="B179-0814"/>
    <s v="B"/>
    <s v="Mandalay"/>
    <s v="Member"/>
    <s v="Female"/>
    <s v="Health and beauty"/>
    <n v="64.63"/>
    <n v="3"/>
    <n v="9.69"/>
    <n v="203.58"/>
    <x v="60"/>
    <s v="11:40"/>
    <s v="Ewallet"/>
    <n v="193.89"/>
    <n v="4.7618999999999998"/>
    <n v="9.69"/>
    <n v="6.3"/>
    <x v="60"/>
  </r>
  <r>
    <s v="C813-0815"/>
    <s v="C"/>
    <s v="Naypyitaw"/>
    <s v="Member"/>
    <s v="Male"/>
    <s v="Electronic accessories"/>
    <n v="49.66"/>
    <n v="3"/>
    <n v="7.45"/>
    <n v="156.43"/>
    <x v="69"/>
    <s v="10:50"/>
    <s v="Ewallet"/>
    <n v="148.97999999999999"/>
    <n v="4.7618999999999998"/>
    <n v="7.45"/>
    <n v="5.3"/>
    <x v="69"/>
  </r>
  <r>
    <s v="A355-0816"/>
    <s v="A"/>
    <s v="Yangon"/>
    <s v="Member"/>
    <s v="Male"/>
    <s v="Fashion accessories"/>
    <n v="37.75"/>
    <n v="1"/>
    <n v="1.89"/>
    <n v="39.64"/>
    <x v="10"/>
    <s v="10:00"/>
    <s v="Credit card"/>
    <n v="37.75"/>
    <n v="4.7618999999999998"/>
    <n v="1.89"/>
    <n v="8.6"/>
    <x v="10"/>
  </r>
  <r>
    <s v="B325-0817"/>
    <s v="B"/>
    <s v="Mandalay"/>
    <s v="Member"/>
    <s v="Female"/>
    <s v="Health and beauty"/>
    <n v="11.44"/>
    <n v="1"/>
    <n v="0.56999999999999995"/>
    <n v="12.01"/>
    <x v="77"/>
    <s v="15:15"/>
    <s v="Ewallet"/>
    <n v="11.44"/>
    <n v="4.7618999999999998"/>
    <n v="0.56999999999999995"/>
    <n v="8"/>
    <x v="77"/>
  </r>
  <r>
    <s v="A312-0818"/>
    <s v="A"/>
    <s v="Yangon"/>
    <s v="Member"/>
    <s v="Female"/>
    <s v="Health and beauty"/>
    <n v="47.41"/>
    <n v="2"/>
    <n v="4.74"/>
    <n v="99.56"/>
    <x v="59"/>
    <s v="15:40"/>
    <s v="Ewallet"/>
    <n v="94.82"/>
    <n v="4.7618999999999998"/>
    <n v="4.74"/>
    <n v="5.0999999999999996"/>
    <x v="59"/>
  </r>
  <r>
    <s v="C423-0819"/>
    <s v="C"/>
    <s v="Naypyitaw"/>
    <s v="Normal"/>
    <s v="Male"/>
    <s v="Health and beauty"/>
    <n v="30.92"/>
    <n v="2"/>
    <n v="3.09"/>
    <n v="64.930000000000007"/>
    <x v="28"/>
    <s v="15:10"/>
    <s v="Cash"/>
    <n v="61.84"/>
    <n v="4.7618999999999998"/>
    <n v="3.09"/>
    <n v="6.4"/>
    <x v="28"/>
  </r>
  <r>
    <s v="A323-0820"/>
    <s v="A"/>
    <s v="Yangon"/>
    <s v="Normal"/>
    <s v="Female"/>
    <s v="Sports and travel"/>
    <n v="29.81"/>
    <n v="5"/>
    <n v="7.45"/>
    <n v="156.5"/>
    <x v="62"/>
    <s v="19:25"/>
    <s v="Cash"/>
    <n v="149.05000000000001"/>
    <n v="4.7618999999999998"/>
    <n v="7.45"/>
    <n v="4.4000000000000004"/>
    <x v="62"/>
  </r>
  <r>
    <s v="B746-0821"/>
    <s v="B"/>
    <s v="Mandalay"/>
    <s v="Normal"/>
    <s v="Male"/>
    <s v="Health and beauty"/>
    <n v="74.13"/>
    <n v="10"/>
    <n v="37.06"/>
    <n v="778.36"/>
    <x v="38"/>
    <s v="14:05"/>
    <s v="Ewallet"/>
    <n v="741.3"/>
    <n v="4.7618999999999998"/>
    <n v="37.06"/>
    <n v="5.9"/>
    <x v="38"/>
  </r>
  <r>
    <s v="C699-0822"/>
    <s v="C"/>
    <s v="Naypyitaw"/>
    <s v="Normal"/>
    <s v="Female"/>
    <s v="Home and lifestyle"/>
    <n v="25.78"/>
    <n v="6"/>
    <n v="7.73"/>
    <n v="162.41"/>
    <x v="23"/>
    <s v="17:05"/>
    <s v="Credit card"/>
    <n v="154.68"/>
    <n v="4.7618999999999998"/>
    <n v="7.73"/>
    <n v="4.0999999999999996"/>
    <x v="23"/>
  </r>
  <r>
    <s v="B855-0823"/>
    <s v="B"/>
    <s v="Mandalay"/>
    <s v="Normal"/>
    <s v="Female"/>
    <s v="Food and beverages"/>
    <n v="62.87"/>
    <n v="1"/>
    <n v="3.14"/>
    <n v="66.010000000000005"/>
    <x v="57"/>
    <s v="10:45"/>
    <s v="Cash"/>
    <n v="62.87"/>
    <n v="4.7618999999999998"/>
    <n v="3.14"/>
    <n v="5.9"/>
    <x v="57"/>
  </r>
  <r>
    <s v="B138-0824"/>
    <s v="B"/>
    <s v="Mandalay"/>
    <s v="Member"/>
    <s v="Female"/>
    <s v="Health and beauty"/>
    <n v="22.38"/>
    <n v="8"/>
    <n v="8.9499999999999993"/>
    <n v="187.99"/>
    <x v="60"/>
    <s v="13:10"/>
    <s v="Credit card"/>
    <n v="179.04"/>
    <n v="4.7618999999999998"/>
    <n v="8.9499999999999993"/>
    <n v="5.2"/>
    <x v="60"/>
  </r>
  <r>
    <s v="A334-0825"/>
    <s v="A"/>
    <s v="Yangon"/>
    <s v="Normal"/>
    <s v="Male"/>
    <s v="Electronic accessories"/>
    <n v="35.03"/>
    <n v="1"/>
    <n v="1.75"/>
    <n v="36.78"/>
    <x v="72"/>
    <s v="16:50"/>
    <s v="Credit card"/>
    <n v="35.03"/>
    <n v="4.7618999999999998"/>
    <n v="1.75"/>
    <n v="8.5"/>
    <x v="72"/>
  </r>
  <r>
    <s v="C722-0826"/>
    <s v="C"/>
    <s v="Naypyitaw"/>
    <s v="Normal"/>
    <s v="Male"/>
    <s v="Electronic accessories"/>
    <n v="28.52"/>
    <n v="1"/>
    <n v="1.43"/>
    <n v="29.95"/>
    <x v="23"/>
    <s v="13:50"/>
    <s v="Ewallet"/>
    <n v="28.52"/>
    <n v="4.7618999999999998"/>
    <n v="1.43"/>
    <n v="8.3000000000000007"/>
    <x v="23"/>
  </r>
  <r>
    <s v="B244-0827"/>
    <s v="B"/>
    <s v="Mandalay"/>
    <s v="Normal"/>
    <s v="Female"/>
    <s v="Sports and travel"/>
    <n v="66.680000000000007"/>
    <n v="2"/>
    <n v="6.67"/>
    <n v="140.03"/>
    <x v="44"/>
    <s v="11:15"/>
    <s v="Cash"/>
    <n v="133.36000000000001"/>
    <n v="4.7618999999999998"/>
    <n v="6.67"/>
    <n v="7.8"/>
    <x v="44"/>
  </r>
  <r>
    <s v="A418-0828"/>
    <s v="A"/>
    <s v="Yangon"/>
    <s v="Member"/>
    <s v="Female"/>
    <s v="Electronic accessories"/>
    <n v="63.34"/>
    <n v="4"/>
    <n v="12.67"/>
    <n v="266.02999999999997"/>
    <x v="35"/>
    <s v="18:05"/>
    <s v="Credit card"/>
    <n v="253.36"/>
    <n v="4.7618999999999998"/>
    <n v="12.67"/>
    <n v="8.3000000000000007"/>
    <x v="35"/>
  </r>
  <r>
    <s v="A306-0829"/>
    <s v="A"/>
    <s v="Yangon"/>
    <s v="Member"/>
    <s v="Female"/>
    <s v="Sports and travel"/>
    <n v="25.88"/>
    <n v="4"/>
    <n v="5.18"/>
    <n v="108.7"/>
    <x v="24"/>
    <s v="14:45"/>
    <s v="Credit card"/>
    <n v="103.52"/>
    <n v="4.7618999999999998"/>
    <n v="5.18"/>
    <n v="9.8000000000000007"/>
    <x v="24"/>
  </r>
  <r>
    <s v="B543-0830"/>
    <s v="B"/>
    <s v="Mandalay"/>
    <s v="Normal"/>
    <s v="Female"/>
    <s v="Home and lifestyle"/>
    <n v="45.84"/>
    <n v="3"/>
    <n v="6.88"/>
    <n v="144.4"/>
    <x v="50"/>
    <s v="17:30"/>
    <s v="Ewallet"/>
    <n v="137.52000000000001"/>
    <n v="4.7618999999999998"/>
    <n v="6.88"/>
    <n v="7.7"/>
    <x v="50"/>
  </r>
  <r>
    <s v="A279-0831"/>
    <s v="A"/>
    <s v="Yangon"/>
    <s v="Normal"/>
    <s v="Female"/>
    <s v="Sports and travel"/>
    <n v="48.47"/>
    <n v="2"/>
    <n v="4.8499999999999996"/>
    <n v="101.79"/>
    <x v="24"/>
    <s v="19:40"/>
    <s v="Cash"/>
    <n v="96.94"/>
    <n v="4.7618999999999998"/>
    <n v="4.8499999999999996"/>
    <n v="7.3"/>
    <x v="24"/>
  </r>
  <r>
    <s v="B832-0832"/>
    <s v="B"/>
    <s v="Mandalay"/>
    <s v="Normal"/>
    <s v="Male"/>
    <s v="Home and lifestyle"/>
    <n v="50.82"/>
    <n v="7"/>
    <n v="17.79"/>
    <n v="373.53"/>
    <x v="26"/>
    <s v="19:35"/>
    <s v="Cash"/>
    <n v="355.74"/>
    <n v="4.7618999999999998"/>
    <n v="17.79"/>
    <n v="6"/>
    <x v="26"/>
  </r>
  <r>
    <s v="B860-0833"/>
    <s v="B"/>
    <s v="Mandalay"/>
    <s v="Member"/>
    <s v="Female"/>
    <s v="Electronic accessories"/>
    <n v="10.38"/>
    <n v="9"/>
    <n v="4.67"/>
    <n v="98.09"/>
    <x v="67"/>
    <s v="17:30"/>
    <s v="Credit card"/>
    <n v="93.42"/>
    <n v="4.7618999999999998"/>
    <n v="4.67"/>
    <n v="9.6"/>
    <x v="67"/>
  </r>
  <r>
    <s v="B679-0834"/>
    <s v="B"/>
    <s v="Mandalay"/>
    <s v="Normal"/>
    <s v="Male"/>
    <s v="Home and lifestyle"/>
    <n v="67.69"/>
    <n v="10"/>
    <n v="33.840000000000003"/>
    <n v="710.74"/>
    <x v="15"/>
    <s v="16:00"/>
    <s v="Cash"/>
    <n v="676.9"/>
    <n v="4.7618999999999998"/>
    <n v="33.840000000000003"/>
    <n v="6.3"/>
    <x v="15"/>
  </r>
  <r>
    <s v="A159-0835"/>
    <s v="A"/>
    <s v="Yangon"/>
    <s v="Member"/>
    <s v="Male"/>
    <s v="Home and lifestyle"/>
    <n v="79.41"/>
    <n v="6"/>
    <n v="23.82"/>
    <n v="500.28"/>
    <x v="9"/>
    <s v="17:50"/>
    <s v="Ewallet"/>
    <n v="476.46"/>
    <n v="4.7618999999999998"/>
    <n v="23.82"/>
    <n v="6.2"/>
    <x v="9"/>
  </r>
  <r>
    <s v="C814-0836"/>
    <s v="C"/>
    <s v="Naypyitaw"/>
    <s v="Normal"/>
    <s v="Male"/>
    <s v="Fashion accessories"/>
    <n v="32.21"/>
    <n v="8"/>
    <n v="12.88"/>
    <n v="270.56"/>
    <x v="52"/>
    <s v="15:50"/>
    <s v="Ewallet"/>
    <n v="257.68"/>
    <n v="4.7618999999999998"/>
    <n v="12.88"/>
    <n v="8.1"/>
    <x v="52"/>
  </r>
  <r>
    <s v="C961-0837"/>
    <s v="C"/>
    <s v="Naypyitaw"/>
    <s v="Member"/>
    <s v="Male"/>
    <s v="Food and beverages"/>
    <n v="50.99"/>
    <n v="3"/>
    <n v="7.65"/>
    <n v="160.62"/>
    <x v="39"/>
    <s v="13:45"/>
    <s v="Ewallet"/>
    <n v="152.97"/>
    <n v="4.7618999999999998"/>
    <n v="7.65"/>
    <n v="9.6999999999999993"/>
    <x v="39"/>
  </r>
  <r>
    <s v="A997-0838"/>
    <s v="A"/>
    <s v="Yangon"/>
    <s v="Member"/>
    <s v="Female"/>
    <s v="Health and beauty"/>
    <n v="68"/>
    <n v="7"/>
    <n v="23.8"/>
    <n v="499.8"/>
    <x v="87"/>
    <s v="19:05"/>
    <s v="Ewallet"/>
    <n v="476"/>
    <n v="4.7618999999999998"/>
    <n v="23.8"/>
    <n v="9.5"/>
    <x v="87"/>
  </r>
  <r>
    <s v="B521-0839"/>
    <s v="B"/>
    <s v="Mandalay"/>
    <s v="Member"/>
    <s v="Male"/>
    <s v="Home and lifestyle"/>
    <n v="72.27"/>
    <n v="9"/>
    <n v="32.520000000000003"/>
    <n v="682.95"/>
    <x v="71"/>
    <s v="20:30"/>
    <s v="Ewallet"/>
    <n v="650.42999999999995"/>
    <n v="4.7618999999999998"/>
    <n v="32.520000000000003"/>
    <n v="5.8"/>
    <x v="71"/>
  </r>
  <r>
    <s v="C507-0840"/>
    <s v="C"/>
    <s v="Naypyitaw"/>
    <s v="Member"/>
    <s v="Female"/>
    <s v="Fashion accessories"/>
    <n v="61.54"/>
    <n v="6"/>
    <n v="18.46"/>
    <n v="387.7"/>
    <x v="8"/>
    <s v="14:55"/>
    <s v="Cash"/>
    <n v="369.24"/>
    <n v="4.7618999999999998"/>
    <n v="18.46"/>
    <n v="9.6"/>
    <x v="8"/>
  </r>
  <r>
    <s v="C770-0841"/>
    <s v="C"/>
    <s v="Naypyitaw"/>
    <s v="Normal"/>
    <s v="Female"/>
    <s v="Electronic accessories"/>
    <n v="83.48"/>
    <n v="1"/>
    <n v="4.17"/>
    <n v="87.65"/>
    <x v="75"/>
    <s v="11:55"/>
    <s v="Credit card"/>
    <n v="83.48"/>
    <n v="4.7618999999999998"/>
    <n v="4.17"/>
    <n v="7.1"/>
    <x v="75"/>
  </r>
  <r>
    <s v="B561-0842"/>
    <s v="B"/>
    <s v="Mandalay"/>
    <s v="Normal"/>
    <s v="Female"/>
    <s v="Electronic accessories"/>
    <n v="43.72"/>
    <n v="3"/>
    <n v="6.56"/>
    <n v="137.72"/>
    <x v="30"/>
    <s v="17:10"/>
    <s v="Ewallet"/>
    <n v="131.16"/>
    <n v="4.7618999999999998"/>
    <n v="6.56"/>
    <n v="9.6999999999999993"/>
    <x v="30"/>
  </r>
  <r>
    <s v="C739-0843"/>
    <s v="C"/>
    <s v="Naypyitaw"/>
    <s v="Member"/>
    <s v="Female"/>
    <s v="Electronic accessories"/>
    <n v="15.31"/>
    <n v="3"/>
    <n v="2.2999999999999998"/>
    <n v="48.23"/>
    <x v="16"/>
    <s v="14:30"/>
    <s v="Credit card"/>
    <n v="45.93"/>
    <n v="4.7618999999999998"/>
    <n v="2.2999999999999998"/>
    <n v="7.8"/>
    <x v="16"/>
  </r>
  <r>
    <s v="A589-0844"/>
    <s v="A"/>
    <s v="Yangon"/>
    <s v="Member"/>
    <s v="Female"/>
    <s v="Home and lifestyle"/>
    <n v="17.71"/>
    <n v="2"/>
    <n v="1.77"/>
    <n v="37.19"/>
    <x v="31"/>
    <s v="11:25"/>
    <s v="Cash"/>
    <n v="35.42"/>
    <n v="4.7618999999999998"/>
    <n v="1.77"/>
    <n v="7.5"/>
    <x v="31"/>
  </r>
  <r>
    <s v="B910-0845"/>
    <s v="B"/>
    <s v="Mandalay"/>
    <s v="Member"/>
    <s v="Female"/>
    <s v="Health and beauty"/>
    <n v="33.950000000000003"/>
    <n v="1"/>
    <n v="1.7"/>
    <n v="35.65"/>
    <x v="23"/>
    <s v="19:00"/>
    <s v="Cash"/>
    <n v="33.950000000000003"/>
    <n v="4.7618999999999998"/>
    <n v="1.7"/>
    <n v="5.3"/>
    <x v="23"/>
  </r>
  <r>
    <s v="A451-0846"/>
    <s v="A"/>
    <s v="Yangon"/>
    <s v="Normal"/>
    <s v="Male"/>
    <s v="Sports and travel"/>
    <n v="52.59"/>
    <n v="6"/>
    <n v="15.78"/>
    <n v="331.32"/>
    <x v="3"/>
    <s v="16:25"/>
    <s v="Credit card"/>
    <n v="315.54000000000002"/>
    <n v="4.7618999999999998"/>
    <n v="15.78"/>
    <n v="8.1"/>
    <x v="3"/>
  </r>
  <r>
    <s v="B991-0847"/>
    <s v="B"/>
    <s v="Mandalay"/>
    <s v="Member"/>
    <s v="Male"/>
    <s v="Fashion accessories"/>
    <n v="45.86"/>
    <n v="10"/>
    <n v="22.93"/>
    <n v="481.53"/>
    <x v="17"/>
    <s v="15:25"/>
    <s v="Cash"/>
    <n v="458.6"/>
    <n v="4.7618999999999998"/>
    <n v="22.93"/>
    <n v="4"/>
    <x v="17"/>
  </r>
  <r>
    <s v="C774-0848"/>
    <s v="C"/>
    <s v="Naypyitaw"/>
    <s v="Normal"/>
    <s v="Female"/>
    <s v="Health and beauty"/>
    <n v="64.17"/>
    <n v="9"/>
    <n v="28.88"/>
    <n v="606.41"/>
    <x v="31"/>
    <s v="13:25"/>
    <s v="Credit card"/>
    <n v="577.53"/>
    <n v="4.7618999999999998"/>
    <n v="28.88"/>
    <n v="7.7"/>
    <x v="31"/>
  </r>
  <r>
    <s v="B853-0849"/>
    <s v="B"/>
    <s v="Mandalay"/>
    <s v="Normal"/>
    <s v="Female"/>
    <s v="Health and beauty"/>
    <n v="98.76"/>
    <n v="6"/>
    <n v="29.63"/>
    <n v="622.19000000000005"/>
    <x v="37"/>
    <s v="20:25"/>
    <s v="Cash"/>
    <n v="592.55999999999995"/>
    <n v="4.7618999999999998"/>
    <n v="29.63"/>
    <n v="9.8000000000000007"/>
    <x v="37"/>
  </r>
  <r>
    <s v="B977-0850"/>
    <s v="B"/>
    <s v="Mandalay"/>
    <s v="Normal"/>
    <s v="Female"/>
    <s v="Food and beverages"/>
    <n v="53.61"/>
    <n v="10"/>
    <n v="26.81"/>
    <n v="562.91"/>
    <x v="22"/>
    <s v="15:30"/>
    <s v="Credit card"/>
    <n v="536.1"/>
    <n v="4.7618999999999998"/>
    <n v="26.81"/>
    <n v="9.9"/>
    <x v="22"/>
  </r>
  <r>
    <s v="C609-0851"/>
    <s v="C"/>
    <s v="Naypyitaw"/>
    <s v="Member"/>
    <s v="Male"/>
    <s v="Home and lifestyle"/>
    <n v="64.650000000000006"/>
    <n v="3"/>
    <n v="9.6999999999999993"/>
    <n v="203.65"/>
    <x v="72"/>
    <s v="19:55"/>
    <s v="Ewallet"/>
    <n v="193.95"/>
    <n v="4.7618999999999998"/>
    <n v="9.6999999999999993"/>
    <n v="4.2"/>
    <x v="72"/>
  </r>
  <r>
    <s v="A274-0852"/>
    <s v="A"/>
    <s v="Yangon"/>
    <s v="Normal"/>
    <s v="Male"/>
    <s v="Electronic accessories"/>
    <n v="90.68"/>
    <n v="2"/>
    <n v="9.07"/>
    <n v="190.43"/>
    <x v="76"/>
    <s v="20:40"/>
    <s v="Cash"/>
    <n v="181.36"/>
    <n v="4.7618999999999998"/>
    <n v="9.07"/>
    <n v="5.5"/>
    <x v="76"/>
  </r>
  <r>
    <s v="C363-0853"/>
    <s v="C"/>
    <s v="Naypyitaw"/>
    <s v="Member"/>
    <s v="Female"/>
    <s v="Sports and travel"/>
    <n v="99.4"/>
    <n v="1"/>
    <n v="4.97"/>
    <n v="104.37"/>
    <x v="2"/>
    <s v="15:30"/>
    <s v="Credit card"/>
    <n v="99.4"/>
    <n v="4.7618999999999998"/>
    <n v="4.97"/>
    <n v="5.3"/>
    <x v="2"/>
  </r>
  <r>
    <s v="C329-0854"/>
    <s v="C"/>
    <s v="Naypyitaw"/>
    <s v="Normal"/>
    <s v="Female"/>
    <s v="Fashion accessories"/>
    <n v="22.22"/>
    <n v="9"/>
    <n v="10"/>
    <n v="209.98"/>
    <x v="5"/>
    <s v="17:05"/>
    <s v="Ewallet"/>
    <n v="199.98"/>
    <n v="4.7618999999999998"/>
    <n v="10"/>
    <n v="6"/>
    <x v="5"/>
  </r>
  <r>
    <s v="C328-0855"/>
    <s v="C"/>
    <s v="Naypyitaw"/>
    <s v="Member"/>
    <s v="Male"/>
    <s v="Sports and travel"/>
    <n v="91.92"/>
    <n v="7"/>
    <n v="32.17"/>
    <n v="675.61"/>
    <x v="62"/>
    <s v="20:40"/>
    <s v="Credit card"/>
    <n v="643.44000000000005"/>
    <n v="4.7618999999999998"/>
    <n v="32.17"/>
    <n v="8.9"/>
    <x v="62"/>
  </r>
  <r>
    <s v="B230-0856"/>
    <s v="B"/>
    <s v="Mandalay"/>
    <s v="Member"/>
    <s v="Male"/>
    <s v="Health and beauty"/>
    <n v="20.02"/>
    <n v="6"/>
    <n v="6.01"/>
    <n v="126.13"/>
    <x v="14"/>
    <s v="13:55"/>
    <s v="Cash"/>
    <n v="120.12"/>
    <n v="4.7618999999999998"/>
    <n v="6.01"/>
    <n v="7.4"/>
    <x v="14"/>
  </r>
  <r>
    <s v="B916-0857"/>
    <s v="B"/>
    <s v="Mandalay"/>
    <s v="Normal"/>
    <s v="Female"/>
    <s v="Home and lifestyle"/>
    <n v="15.57"/>
    <n v="9"/>
    <n v="7.01"/>
    <n v="147.13999999999999"/>
    <x v="16"/>
    <s v="16:30"/>
    <s v="Credit card"/>
    <n v="140.13"/>
    <n v="4.7618999999999998"/>
    <n v="7.01"/>
    <n v="8.6"/>
    <x v="16"/>
  </r>
  <r>
    <s v="C611-0858"/>
    <s v="C"/>
    <s v="Naypyitaw"/>
    <s v="Member"/>
    <s v="Female"/>
    <s v="Health and beauty"/>
    <n v="45.58"/>
    <n v="9"/>
    <n v="20.51"/>
    <n v="430.73"/>
    <x v="45"/>
    <s v="15:10"/>
    <s v="Credit card"/>
    <n v="410.22"/>
    <n v="4.7618999999999998"/>
    <n v="20.51"/>
    <n v="9"/>
    <x v="45"/>
  </r>
  <r>
    <s v="C226-0859"/>
    <s v="C"/>
    <s v="Naypyitaw"/>
    <s v="Normal"/>
    <s v="Female"/>
    <s v="Food and beverages"/>
    <n v="35.51"/>
    <n v="1"/>
    <n v="1.78"/>
    <n v="37.29"/>
    <x v="10"/>
    <s v="15:20"/>
    <s v="Ewallet"/>
    <n v="35.51"/>
    <n v="4.7618999999999998"/>
    <n v="1.78"/>
    <n v="9.9"/>
    <x v="10"/>
  </r>
  <r>
    <s v="B850-0860"/>
    <s v="B"/>
    <s v="Mandalay"/>
    <s v="Normal"/>
    <s v="Female"/>
    <s v="Sports and travel"/>
    <n v="36.229999999999997"/>
    <n v="7"/>
    <n v="12.68"/>
    <n v="266.29000000000002"/>
    <x v="17"/>
    <s v="15:10"/>
    <s v="Ewallet"/>
    <n v="253.61"/>
    <n v="4.7618999999999998"/>
    <n v="12.68"/>
    <n v="5.3"/>
    <x v="17"/>
  </r>
  <r>
    <s v="A532-0861"/>
    <s v="A"/>
    <s v="Yangon"/>
    <s v="Member"/>
    <s v="Female"/>
    <s v="Sports and travel"/>
    <n v="75.47"/>
    <n v="5"/>
    <n v="18.87"/>
    <n v="396.22"/>
    <x v="13"/>
    <s v="12:00"/>
    <s v="Ewallet"/>
    <n v="377.35"/>
    <n v="4.7618999999999998"/>
    <n v="18.87"/>
    <n v="6.4"/>
    <x v="13"/>
  </r>
  <r>
    <s v="C661-0862"/>
    <s v="C"/>
    <s v="Naypyitaw"/>
    <s v="Normal"/>
    <s v="Male"/>
    <s v="Sports and travel"/>
    <n v="45.2"/>
    <n v="9"/>
    <n v="20.34"/>
    <n v="427.14"/>
    <x v="47"/>
    <s v="14:55"/>
    <s v="Cash"/>
    <n v="406.8"/>
    <n v="4.7618999999999998"/>
    <n v="20.34"/>
    <n v="8.1999999999999993"/>
    <x v="47"/>
  </r>
  <r>
    <s v="B240-0863"/>
    <s v="B"/>
    <s v="Mandalay"/>
    <s v="Member"/>
    <s v="Female"/>
    <s v="Home and lifestyle"/>
    <n v="77.7"/>
    <n v="10"/>
    <n v="38.85"/>
    <n v="815.85"/>
    <x v="73"/>
    <s v="14:35"/>
    <s v="Ewallet"/>
    <n v="777"/>
    <n v="4.7618999999999998"/>
    <n v="38.85"/>
    <n v="5"/>
    <x v="73"/>
  </r>
  <r>
    <s v="B204-0864"/>
    <s v="B"/>
    <s v="Mandalay"/>
    <s v="Normal"/>
    <s v="Male"/>
    <s v="Electronic accessories"/>
    <n v="28.88"/>
    <n v="4"/>
    <n v="5.78"/>
    <n v="121.3"/>
    <x v="62"/>
    <s v="10:25"/>
    <s v="Ewallet"/>
    <n v="115.52"/>
    <n v="4.7618999999999998"/>
    <n v="5.78"/>
    <n v="9.1"/>
    <x v="62"/>
  </r>
  <r>
    <s v="C153-0865"/>
    <s v="C"/>
    <s v="Naypyitaw"/>
    <s v="Member"/>
    <s v="Male"/>
    <s v="Sports and travel"/>
    <n v="71.150000000000006"/>
    <n v="3"/>
    <n v="10.67"/>
    <n v="224.12"/>
    <x v="17"/>
    <s v="11:25"/>
    <s v="Credit card"/>
    <n v="213.45"/>
    <n v="4.7618999999999998"/>
    <n v="10.67"/>
    <n v="5.0999999999999996"/>
    <x v="17"/>
  </r>
  <r>
    <s v="A409-0866"/>
    <s v="A"/>
    <s v="Yangon"/>
    <s v="Normal"/>
    <s v="Male"/>
    <s v="Electronic accessories"/>
    <n v="66.430000000000007"/>
    <n v="7"/>
    <n v="23.25"/>
    <n v="488.26"/>
    <x v="40"/>
    <s v="10:05"/>
    <s v="Cash"/>
    <n v="465.01"/>
    <n v="4.7618999999999998"/>
    <n v="23.25"/>
    <n v="6.4"/>
    <x v="40"/>
  </r>
  <r>
    <s v="C555-0867"/>
    <s v="C"/>
    <s v="Naypyitaw"/>
    <s v="Member"/>
    <s v="Male"/>
    <s v="Fashion accessories"/>
    <n v="99.2"/>
    <n v="2"/>
    <n v="9.92"/>
    <n v="208.32"/>
    <x v="6"/>
    <s v="20:30"/>
    <s v="Credit card"/>
    <n v="198.4"/>
    <n v="4.7618999999999998"/>
    <n v="9.92"/>
    <n v="7.8"/>
    <x v="6"/>
  </r>
  <r>
    <s v="B686-0868"/>
    <s v="B"/>
    <s v="Mandalay"/>
    <s v="Member"/>
    <s v="Female"/>
    <s v="Health and beauty"/>
    <n v="17.440000000000001"/>
    <n v="8"/>
    <n v="6.98"/>
    <n v="146.5"/>
    <x v="80"/>
    <s v="20:40"/>
    <s v="Cash"/>
    <n v="139.52000000000001"/>
    <n v="4.7618999999999998"/>
    <n v="6.98"/>
    <n v="4.0999999999999996"/>
    <x v="80"/>
  </r>
  <r>
    <s v="C405-0869"/>
    <s v="C"/>
    <s v="Naypyitaw"/>
    <s v="Normal"/>
    <s v="Male"/>
    <s v="Fashion accessories"/>
    <n v="77.08"/>
    <n v="10"/>
    <n v="38.54"/>
    <n v="809.34"/>
    <x v="18"/>
    <s v="16:35"/>
    <s v="Ewallet"/>
    <n v="770.8"/>
    <n v="4.7618999999999998"/>
    <n v="38.54"/>
    <n v="8.1999999999999993"/>
    <x v="18"/>
  </r>
  <r>
    <s v="C937-0870"/>
    <s v="C"/>
    <s v="Naypyitaw"/>
    <s v="Member"/>
    <s v="Female"/>
    <s v="Home and lifestyle"/>
    <n v="15.71"/>
    <n v="9"/>
    <n v="7.07"/>
    <n v="148.46"/>
    <x v="18"/>
    <s v="16:55"/>
    <s v="Cash"/>
    <n v="141.38999999999999"/>
    <n v="4.7618999999999998"/>
    <n v="7.07"/>
    <n v="6.4"/>
    <x v="18"/>
  </r>
  <r>
    <s v="C285-0871"/>
    <s v="C"/>
    <s v="Naypyitaw"/>
    <s v="Normal"/>
    <s v="Female"/>
    <s v="Food and beverages"/>
    <n v="85.34"/>
    <n v="9"/>
    <n v="38.4"/>
    <n v="806.46"/>
    <x v="62"/>
    <s v="11:15"/>
    <s v="Ewallet"/>
    <n v="768.06"/>
    <n v="4.7618999999999998"/>
    <n v="38.4"/>
    <n v="9.4"/>
    <x v="62"/>
  </r>
  <r>
    <s v="C265-0872"/>
    <s v="C"/>
    <s v="Naypyitaw"/>
    <s v="Member"/>
    <s v="Female"/>
    <s v="Food and beverages"/>
    <n v="50.25"/>
    <n v="6"/>
    <n v="15.08"/>
    <n v="316.58"/>
    <x v="41"/>
    <s v="10:10"/>
    <s v="Ewallet"/>
    <n v="301.5"/>
    <n v="4.7618999999999998"/>
    <n v="15.08"/>
    <n v="5.2"/>
    <x v="41"/>
  </r>
  <r>
    <s v="A773-0873"/>
    <s v="A"/>
    <s v="Yangon"/>
    <s v="Normal"/>
    <s v="Female"/>
    <s v="Health and beauty"/>
    <n v="98.19"/>
    <n v="9"/>
    <n v="44.19"/>
    <n v="927.9"/>
    <x v="24"/>
    <s v="15:40"/>
    <s v="Cash"/>
    <n v="883.71"/>
    <n v="4.7618999999999998"/>
    <n v="44.19"/>
    <n v="6.5"/>
    <x v="24"/>
  </r>
  <r>
    <s v="A602-0874"/>
    <s v="A"/>
    <s v="Yangon"/>
    <s v="Member"/>
    <s v="Male"/>
    <s v="Health and beauty"/>
    <n v="95.16"/>
    <n v="9"/>
    <n v="42.82"/>
    <n v="899.26"/>
    <x v="60"/>
    <s v="20:40"/>
    <s v="Credit card"/>
    <n v="856.44"/>
    <n v="4.7618999999999998"/>
    <n v="42.82"/>
    <n v="4.8"/>
    <x v="60"/>
  </r>
  <r>
    <s v="C292-0875"/>
    <s v="C"/>
    <s v="Naypyitaw"/>
    <s v="Normal"/>
    <s v="Male"/>
    <s v="Food and beverages"/>
    <n v="58.44"/>
    <n v="4"/>
    <n v="11.69"/>
    <n v="245.45"/>
    <x v="81"/>
    <s v="11:50"/>
    <s v="Cash"/>
    <n v="233.76"/>
    <n v="4.7618999999999998"/>
    <n v="11.69"/>
    <n v="5.4"/>
    <x v="81"/>
  </r>
  <r>
    <s v="A532-0876"/>
    <s v="A"/>
    <s v="Yangon"/>
    <s v="Normal"/>
    <s v="Female"/>
    <s v="Electronic accessories"/>
    <n v="64.19"/>
    <n v="4"/>
    <n v="12.84"/>
    <n v="269.60000000000002"/>
    <x v="14"/>
    <s v="15:20"/>
    <s v="Cash"/>
    <n v="256.76"/>
    <n v="4.7618999999999998"/>
    <n v="12.84"/>
    <n v="8.4"/>
    <x v="14"/>
  </r>
  <r>
    <s v="A811-0877"/>
    <s v="A"/>
    <s v="Yangon"/>
    <s v="Normal"/>
    <s v="Male"/>
    <s v="Sports and travel"/>
    <n v="68.48"/>
    <n v="3"/>
    <n v="10.27"/>
    <n v="215.71"/>
    <x v="7"/>
    <s v="17:05"/>
    <s v="Credit card"/>
    <n v="205.44"/>
    <n v="4.7618999999999998"/>
    <n v="10.27"/>
    <n v="8.1"/>
    <x v="7"/>
  </r>
  <r>
    <s v="A719-0878"/>
    <s v="A"/>
    <s v="Yangon"/>
    <s v="Member"/>
    <s v="Female"/>
    <s v="Fashion accessories"/>
    <n v="75.94"/>
    <n v="4"/>
    <n v="15.19"/>
    <n v="318.95"/>
    <x v="67"/>
    <s v="19:50"/>
    <s v="Ewallet"/>
    <n v="303.76"/>
    <n v="4.7618999999999998"/>
    <n v="15.19"/>
    <n v="8.9"/>
    <x v="67"/>
  </r>
  <r>
    <s v="A227-0879"/>
    <s v="A"/>
    <s v="Yangon"/>
    <s v="Normal"/>
    <s v="Female"/>
    <s v="Home and lifestyle"/>
    <n v="99.32"/>
    <n v="7"/>
    <n v="34.76"/>
    <n v="730"/>
    <x v="79"/>
    <s v="10:45"/>
    <s v="Cash"/>
    <n v="695.24"/>
    <n v="4.7618999999999998"/>
    <n v="34.76"/>
    <n v="4.5"/>
    <x v="79"/>
  </r>
  <r>
    <s v="C331-0880"/>
    <s v="C"/>
    <s v="Naypyitaw"/>
    <s v="Member"/>
    <s v="Male"/>
    <s v="Health and beauty"/>
    <n v="39.64"/>
    <n v="2"/>
    <n v="3.96"/>
    <n v="83.24"/>
    <x v="53"/>
    <s v="15:20"/>
    <s v="Cash"/>
    <n v="79.28"/>
    <n v="4.7618999999999998"/>
    <n v="3.96"/>
    <n v="9.1999999999999993"/>
    <x v="53"/>
  </r>
  <r>
    <s v="B996-0881"/>
    <s v="B"/>
    <s v="Mandalay"/>
    <s v="Member"/>
    <s v="Female"/>
    <s v="Sports and travel"/>
    <n v="98.15"/>
    <n v="4"/>
    <n v="19.63"/>
    <n v="412.23"/>
    <x v="79"/>
    <s v="11:05"/>
    <s v="Cash"/>
    <n v="392.6"/>
    <n v="4.7618999999999998"/>
    <n v="19.63"/>
    <n v="7.2"/>
    <x v="79"/>
  </r>
  <r>
    <s v="B149-0882"/>
    <s v="B"/>
    <s v="Mandalay"/>
    <s v="Normal"/>
    <s v="Female"/>
    <s v="Food and beverages"/>
    <n v="41.4"/>
    <n v="10"/>
    <n v="20.7"/>
    <n v="434.7"/>
    <x v="47"/>
    <s v="18:20"/>
    <s v="Ewallet"/>
    <n v="414"/>
    <n v="4.7618999999999998"/>
    <n v="20.7"/>
    <n v="4.5999999999999996"/>
    <x v="47"/>
  </r>
  <r>
    <s v="A365-0883"/>
    <s v="A"/>
    <s v="Yangon"/>
    <s v="Normal"/>
    <s v="Male"/>
    <s v="Electronic accessories"/>
    <n v="41.07"/>
    <n v="9"/>
    <n v="18.48"/>
    <n v="388.11"/>
    <x v="25"/>
    <s v="19:30"/>
    <s v="Credit card"/>
    <n v="369.63"/>
    <n v="4.7618999999999998"/>
    <n v="18.48"/>
    <n v="7.6"/>
    <x v="25"/>
  </r>
  <r>
    <s v="A794-0884"/>
    <s v="A"/>
    <s v="Yangon"/>
    <s v="Member"/>
    <s v="Female"/>
    <s v="Electronic accessories"/>
    <n v="44.09"/>
    <n v="5"/>
    <n v="11.02"/>
    <n v="231.47"/>
    <x v="73"/>
    <s v="20:25"/>
    <s v="Ewallet"/>
    <n v="220.45"/>
    <n v="4.7618999999999998"/>
    <n v="11.02"/>
    <n v="8.6999999999999993"/>
    <x v="73"/>
  </r>
  <r>
    <s v="C633-0885"/>
    <s v="C"/>
    <s v="Naypyitaw"/>
    <s v="Normal"/>
    <s v="Male"/>
    <s v="Electronic accessories"/>
    <n v="49.51"/>
    <n v="6"/>
    <n v="14.85"/>
    <n v="311.91000000000003"/>
    <x v="6"/>
    <s v="18:20"/>
    <s v="Credit card"/>
    <n v="297.06"/>
    <n v="4.7618999999999998"/>
    <n v="14.85"/>
    <n v="9.6999999999999993"/>
    <x v="6"/>
  </r>
  <r>
    <s v="C847-0886"/>
    <s v="C"/>
    <s v="Naypyitaw"/>
    <s v="Member"/>
    <s v="Male"/>
    <s v="Fashion accessories"/>
    <n v="87.21"/>
    <n v="5"/>
    <n v="21.8"/>
    <n v="457.85"/>
    <x v="29"/>
    <s v="15:05"/>
    <s v="Ewallet"/>
    <n v="436.05"/>
    <n v="4.7618999999999998"/>
    <n v="21.8"/>
    <n v="4.5"/>
    <x v="29"/>
  </r>
  <r>
    <s v="A848-0887"/>
    <s v="A"/>
    <s v="Yangon"/>
    <s v="Member"/>
    <s v="Female"/>
    <s v="Food and beverages"/>
    <n v="15.17"/>
    <n v="5"/>
    <n v="3.79"/>
    <n v="79.64"/>
    <x v="25"/>
    <s v="17:00"/>
    <s v="Credit card"/>
    <n v="75.849999999999994"/>
    <n v="4.7618999999999998"/>
    <n v="3.79"/>
    <n v="8.1"/>
    <x v="25"/>
  </r>
  <r>
    <s v="A951-0888"/>
    <s v="A"/>
    <s v="Yangon"/>
    <s v="Normal"/>
    <s v="Male"/>
    <s v="Food and beverages"/>
    <n v="71.66"/>
    <n v="9"/>
    <n v="32.25"/>
    <n v="677.19"/>
    <x v="41"/>
    <s v="16:00"/>
    <s v="Ewallet"/>
    <n v="644.94000000000005"/>
    <n v="4.7618999999999998"/>
    <n v="32.25"/>
    <n v="5.0999999999999996"/>
    <x v="41"/>
  </r>
  <r>
    <s v="C721-0889"/>
    <s v="C"/>
    <s v="Naypyitaw"/>
    <s v="Member"/>
    <s v="Male"/>
    <s v="Fashion accessories"/>
    <n v="58.09"/>
    <n v="6"/>
    <n v="17.43"/>
    <n v="365.97"/>
    <x v="40"/>
    <s v="20:40"/>
    <s v="Ewallet"/>
    <n v="348.54"/>
    <n v="4.7618999999999998"/>
    <n v="17.43"/>
    <n v="7.7"/>
    <x v="40"/>
  </r>
  <r>
    <s v="B274-0890"/>
    <s v="B"/>
    <s v="Mandalay"/>
    <s v="Member"/>
    <s v="Female"/>
    <s v="Electronic accessories"/>
    <n v="16.760000000000002"/>
    <n v="3"/>
    <n v="2.5099999999999998"/>
    <n v="52.79"/>
    <x v="9"/>
    <s v="15:00"/>
    <s v="Credit card"/>
    <n v="50.28"/>
    <n v="4.7618999999999998"/>
    <n v="2.5099999999999998"/>
    <n v="7"/>
    <x v="9"/>
  </r>
  <r>
    <s v="B318-0891"/>
    <s v="B"/>
    <s v="Mandalay"/>
    <s v="Member"/>
    <s v="Male"/>
    <s v="Fashion accessories"/>
    <n v="32.479999999999997"/>
    <n v="9"/>
    <n v="14.62"/>
    <n v="306.94"/>
    <x v="41"/>
    <s v="14:20"/>
    <s v="Credit card"/>
    <n v="292.32"/>
    <n v="4.7618999999999998"/>
    <n v="14.62"/>
    <n v="5.8"/>
    <x v="41"/>
  </r>
  <r>
    <s v="A106-0892"/>
    <s v="A"/>
    <s v="Yangon"/>
    <s v="Normal"/>
    <s v="Female"/>
    <s v="Home and lifestyle"/>
    <n v="93.62"/>
    <n v="9"/>
    <n v="42.13"/>
    <n v="884.71"/>
    <x v="52"/>
    <s v="17:45"/>
    <s v="Credit card"/>
    <n v="842.58"/>
    <n v="4.7618999999999998"/>
    <n v="42.13"/>
    <n v="4.3"/>
    <x v="52"/>
  </r>
  <r>
    <s v="C541-0893"/>
    <s v="C"/>
    <s v="Naypyitaw"/>
    <s v="Normal"/>
    <s v="Male"/>
    <s v="Home and lifestyle"/>
    <n v="41.85"/>
    <n v="1"/>
    <n v="2.09"/>
    <n v="43.94"/>
    <x v="66"/>
    <s v="12:30"/>
    <s v="Credit card"/>
    <n v="41.85"/>
    <n v="4.7618999999999998"/>
    <n v="2.09"/>
    <n v="4.0999999999999996"/>
    <x v="66"/>
  </r>
  <r>
    <s v="B772-0894"/>
    <s v="B"/>
    <s v="Mandalay"/>
    <s v="Member"/>
    <s v="Female"/>
    <s v="Food and beverages"/>
    <n v="56.29"/>
    <n v="3"/>
    <n v="8.44"/>
    <n v="177.31"/>
    <x v="29"/>
    <s v="11:35"/>
    <s v="Cash"/>
    <n v="168.87"/>
    <n v="4.7618999999999998"/>
    <n v="8.44"/>
    <n v="4.9000000000000004"/>
    <x v="29"/>
  </r>
  <r>
    <s v="B549-0895"/>
    <s v="B"/>
    <s v="Mandalay"/>
    <s v="Member"/>
    <s v="Male"/>
    <s v="Sports and travel"/>
    <n v="43.69"/>
    <n v="6"/>
    <n v="13.11"/>
    <n v="275.25"/>
    <x v="84"/>
    <s v="12:40"/>
    <s v="Credit card"/>
    <n v="262.14"/>
    <n v="4.7618999999999998"/>
    <n v="13.11"/>
    <n v="4.7"/>
    <x v="84"/>
  </r>
  <r>
    <s v="C391-0896"/>
    <s v="C"/>
    <s v="Naypyitaw"/>
    <s v="Normal"/>
    <s v="Female"/>
    <s v="Electronic accessories"/>
    <n v="41.84"/>
    <n v="7"/>
    <n v="14.64"/>
    <n v="307.52"/>
    <x v="78"/>
    <s v="15:55"/>
    <s v="Cash"/>
    <n v="292.88"/>
    <n v="4.7618999999999998"/>
    <n v="14.64"/>
    <n v="4.7"/>
    <x v="78"/>
  </r>
  <r>
    <s v="A372-0897"/>
    <s v="A"/>
    <s v="Yangon"/>
    <s v="Member"/>
    <s v="Male"/>
    <s v="Sports and travel"/>
    <n v="76.95"/>
    <n v="1"/>
    <n v="3.85"/>
    <n v="80.8"/>
    <x v="2"/>
    <s v="20:15"/>
    <s v="Credit card"/>
    <n v="76.95"/>
    <n v="4.7618999999999998"/>
    <n v="3.85"/>
    <n v="9.8000000000000007"/>
    <x v="2"/>
  </r>
  <r>
    <s v="A963-0898"/>
    <s v="A"/>
    <s v="Yangon"/>
    <s v="Normal"/>
    <s v="Male"/>
    <s v="Food and beverages"/>
    <n v="54.6"/>
    <n v="3"/>
    <n v="8.19"/>
    <n v="171.99"/>
    <x v="59"/>
    <s v="16:40"/>
    <s v="Ewallet"/>
    <n v="163.80000000000001"/>
    <n v="4.7618999999999998"/>
    <n v="8.19"/>
    <n v="9.5"/>
    <x v="59"/>
  </r>
  <r>
    <s v="B342-0899"/>
    <s v="B"/>
    <s v="Mandalay"/>
    <s v="Member"/>
    <s v="Female"/>
    <s v="Health and beauty"/>
    <n v="81.34"/>
    <n v="3"/>
    <n v="12.2"/>
    <n v="256.22000000000003"/>
    <x v="82"/>
    <s v="15:40"/>
    <s v="Cash"/>
    <n v="244.02"/>
    <n v="4.7618999999999998"/>
    <n v="12.2"/>
    <n v="8.6"/>
    <x v="82"/>
  </r>
  <r>
    <s v="A539-0900"/>
    <s v="A"/>
    <s v="Yangon"/>
    <s v="Normal"/>
    <s v="Male"/>
    <s v="Food and beverages"/>
    <n v="76.37"/>
    <n v="7"/>
    <n v="26.73"/>
    <n v="561.32000000000005"/>
    <x v="76"/>
    <s v="14:20"/>
    <s v="Credit card"/>
    <n v="534.59"/>
    <n v="4.7618999999999998"/>
    <n v="26.73"/>
    <n v="4.5"/>
    <x v="76"/>
  </r>
  <r>
    <s v="A823-0901"/>
    <s v="A"/>
    <s v="Yangon"/>
    <s v="Member"/>
    <s v="Female"/>
    <s v="Electronic accessories"/>
    <n v="35.299999999999997"/>
    <n v="2"/>
    <n v="3.53"/>
    <n v="74.13"/>
    <x v="20"/>
    <s v="13:50"/>
    <s v="Credit card"/>
    <n v="70.599999999999994"/>
    <n v="4.7618999999999998"/>
    <n v="3.53"/>
    <n v="5.2"/>
    <x v="20"/>
  </r>
  <r>
    <s v="A296-0902"/>
    <s v="A"/>
    <s v="Yangon"/>
    <s v="Member"/>
    <s v="Female"/>
    <s v="Food and beverages"/>
    <n v="66.599999999999994"/>
    <n v="3"/>
    <n v="9.99"/>
    <n v="209.79"/>
    <x v="57"/>
    <s v="11:10"/>
    <s v="Credit card"/>
    <n v="199.8"/>
    <n v="4.7618999999999998"/>
    <n v="9.99"/>
    <n v="4.2"/>
    <x v="57"/>
  </r>
  <r>
    <s v="A336-0903"/>
    <s v="A"/>
    <s v="Yangon"/>
    <s v="Normal"/>
    <s v="Female"/>
    <s v="Food and beverages"/>
    <n v="27.97"/>
    <n v="1"/>
    <n v="1.4"/>
    <n v="29.37"/>
    <x v="79"/>
    <s v="16:40"/>
    <s v="Credit card"/>
    <n v="27.97"/>
    <n v="4.7618999999999998"/>
    <n v="1.4"/>
    <n v="8.1999999999999993"/>
    <x v="79"/>
  </r>
  <r>
    <s v="A387-0904"/>
    <s v="A"/>
    <s v="Yangon"/>
    <s v="Normal"/>
    <s v="Male"/>
    <s v="Sports and travel"/>
    <n v="15.52"/>
    <n v="7"/>
    <n v="5.43"/>
    <n v="114.07"/>
    <x v="80"/>
    <s v="10:20"/>
    <s v="Cash"/>
    <n v="108.64"/>
    <n v="4.7618999999999998"/>
    <n v="5.43"/>
    <n v="5.6"/>
    <x v="80"/>
  </r>
  <r>
    <s v="B317-0905"/>
    <s v="B"/>
    <s v="Mandalay"/>
    <s v="Normal"/>
    <s v="Female"/>
    <s v="Home and lifestyle"/>
    <n v="90.56"/>
    <n v="3"/>
    <n v="13.58"/>
    <n v="285.26"/>
    <x v="55"/>
    <s v="10:00"/>
    <s v="Ewallet"/>
    <n v="271.68"/>
    <n v="4.7618999999999998"/>
    <n v="13.58"/>
    <n v="8.5"/>
    <x v="55"/>
  </r>
  <r>
    <s v="B199-0906"/>
    <s v="B"/>
    <s v="Mandalay"/>
    <s v="Normal"/>
    <s v="Male"/>
    <s v="Food and beverages"/>
    <n v="19.07"/>
    <n v="3"/>
    <n v="2.86"/>
    <n v="60.07"/>
    <x v="39"/>
    <s v="17:25"/>
    <s v="Credit card"/>
    <n v="57.21"/>
    <n v="4.7618999999999998"/>
    <n v="2.86"/>
    <n v="5.8"/>
    <x v="39"/>
  </r>
  <r>
    <s v="C382-0907"/>
    <s v="C"/>
    <s v="Naypyitaw"/>
    <s v="Member"/>
    <s v="Female"/>
    <s v="Home and lifestyle"/>
    <n v="42.45"/>
    <n v="6"/>
    <n v="12.73"/>
    <n v="267.43"/>
    <x v="14"/>
    <s v="18:45"/>
    <s v="Credit card"/>
    <n v="254.7"/>
    <n v="4.7618999999999998"/>
    <n v="12.73"/>
    <n v="5.4"/>
    <x v="14"/>
  </r>
  <r>
    <s v="A297-0908"/>
    <s v="A"/>
    <s v="Yangon"/>
    <s v="Normal"/>
    <s v="Female"/>
    <s v="Health and beauty"/>
    <n v="21.74"/>
    <n v="10"/>
    <n v="10.87"/>
    <n v="228.27"/>
    <x v="41"/>
    <s v="10:45"/>
    <s v="Ewallet"/>
    <n v="217.4"/>
    <n v="4.7618999999999998"/>
    <n v="10.87"/>
    <n v="8.9"/>
    <x v="41"/>
  </r>
  <r>
    <s v="C306-0909"/>
    <s v="C"/>
    <s v="Naypyitaw"/>
    <s v="Normal"/>
    <s v="Female"/>
    <s v="Health and beauty"/>
    <n v="94.76"/>
    <n v="10"/>
    <n v="47.38"/>
    <n v="994.98"/>
    <x v="54"/>
    <s v="14:55"/>
    <s v="Credit card"/>
    <n v="947.6"/>
    <n v="4.7618999999999998"/>
    <n v="47.38"/>
    <n v="9.9"/>
    <x v="54"/>
  </r>
  <r>
    <s v="C834-0910"/>
    <s v="C"/>
    <s v="Naypyitaw"/>
    <s v="Member"/>
    <s v="Female"/>
    <s v="Electronic accessories"/>
    <n v="27.25"/>
    <n v="9"/>
    <n v="12.26"/>
    <n v="257.51"/>
    <x v="39"/>
    <s v="18:25"/>
    <s v="Credit card"/>
    <n v="245.25"/>
    <n v="4.7618999999999998"/>
    <n v="12.26"/>
    <n v="6.7"/>
    <x v="39"/>
  </r>
  <r>
    <s v="A232-0911"/>
    <s v="A"/>
    <s v="Yangon"/>
    <s v="Normal"/>
    <s v="Female"/>
    <s v="Sports and travel"/>
    <n v="47.71"/>
    <n v="9"/>
    <n v="21.47"/>
    <n v="450.86"/>
    <x v="37"/>
    <s v="12:45"/>
    <s v="Credit card"/>
    <n v="429.39"/>
    <n v="4.7618999999999998"/>
    <n v="21.47"/>
    <n v="8.1999999999999993"/>
    <x v="37"/>
  </r>
  <r>
    <s v="B269-0912"/>
    <s v="B"/>
    <s v="Mandalay"/>
    <s v="Member"/>
    <s v="Female"/>
    <s v="Fashion accessories"/>
    <n v="27.12"/>
    <n v="7"/>
    <n v="9.49"/>
    <n v="199.33"/>
    <x v="85"/>
    <s v="20:40"/>
    <s v="Ewallet"/>
    <n v="189.84"/>
    <n v="4.7618999999999998"/>
    <n v="9.49"/>
    <n v="9.8000000000000007"/>
    <x v="85"/>
  </r>
  <r>
    <s v="B813-0913"/>
    <s v="B"/>
    <s v="Mandalay"/>
    <s v="Normal"/>
    <s v="Male"/>
    <s v="Sports and travel"/>
    <n v="64.650000000000006"/>
    <n v="4"/>
    <n v="12.93"/>
    <n v="271.52999999999997"/>
    <x v="18"/>
    <s v="10:10"/>
    <s v="Ewallet"/>
    <n v="258.60000000000002"/>
    <n v="4.7618999999999998"/>
    <n v="12.93"/>
    <n v="5.3"/>
    <x v="18"/>
  </r>
  <r>
    <s v="A646-0914"/>
    <s v="A"/>
    <s v="Yangon"/>
    <s v="Normal"/>
    <s v="Male"/>
    <s v="Home and lifestyle"/>
    <n v="86.72"/>
    <n v="5"/>
    <n v="21.68"/>
    <n v="455.28"/>
    <x v="48"/>
    <s v="18:05"/>
    <s v="Cash"/>
    <n v="433.6"/>
    <n v="4.7618999999999998"/>
    <n v="21.68"/>
    <n v="5.3"/>
    <x v="48"/>
  </r>
  <r>
    <s v="A943-0915"/>
    <s v="A"/>
    <s v="Yangon"/>
    <s v="Normal"/>
    <s v="Female"/>
    <s v="Fashion accessories"/>
    <n v="23.33"/>
    <n v="5"/>
    <n v="5.83"/>
    <n v="122.48"/>
    <x v="0"/>
    <s v="14:00"/>
    <s v="Ewallet"/>
    <n v="116.65"/>
    <n v="4.7618999999999998"/>
    <n v="5.83"/>
    <n v="9.9"/>
    <x v="0"/>
  </r>
  <r>
    <s v="A370-0916"/>
    <s v="A"/>
    <s v="Yangon"/>
    <s v="Member"/>
    <s v="Female"/>
    <s v="Fashion accessories"/>
    <n v="41.27"/>
    <n v="10"/>
    <n v="20.64"/>
    <n v="433.34"/>
    <x v="67"/>
    <s v="15:05"/>
    <s v="Ewallet"/>
    <n v="412.7"/>
    <n v="4.7618999999999998"/>
    <n v="20.64"/>
    <n v="9.3000000000000007"/>
    <x v="67"/>
  </r>
  <r>
    <s v="C386-0917"/>
    <s v="C"/>
    <s v="Naypyitaw"/>
    <s v="Member"/>
    <s v="Male"/>
    <s v="Food and beverages"/>
    <n v="36.54"/>
    <n v="1"/>
    <n v="1.83"/>
    <n v="38.369999999999997"/>
    <x v="58"/>
    <s v="10:25"/>
    <s v="Cash"/>
    <n v="36.54"/>
    <n v="4.7618999999999998"/>
    <n v="1.83"/>
    <n v="8.4"/>
    <x v="58"/>
  </r>
  <r>
    <s v="A749-0918"/>
    <s v="A"/>
    <s v="Yangon"/>
    <s v="Normal"/>
    <s v="Female"/>
    <s v="Food and beverages"/>
    <n v="69.16"/>
    <n v="10"/>
    <n v="34.58"/>
    <n v="726.18"/>
    <x v="42"/>
    <s v="16:50"/>
    <s v="Credit card"/>
    <n v="691.6"/>
    <n v="4.7618999999999998"/>
    <n v="34.58"/>
    <n v="9.1999999999999993"/>
    <x v="42"/>
  </r>
  <r>
    <s v="C847-0919"/>
    <s v="C"/>
    <s v="Naypyitaw"/>
    <s v="Member"/>
    <s v="Male"/>
    <s v="Electronic accessories"/>
    <n v="39.18"/>
    <n v="4"/>
    <n v="7.84"/>
    <n v="164.56"/>
    <x v="21"/>
    <s v="20:30"/>
    <s v="Cash"/>
    <n v="156.72"/>
    <n v="4.7618999999999998"/>
    <n v="7.84"/>
    <n v="6.7"/>
    <x v="21"/>
  </r>
  <r>
    <s v="C280-0920"/>
    <s v="C"/>
    <s v="Naypyitaw"/>
    <s v="Normal"/>
    <s v="Male"/>
    <s v="Electronic accessories"/>
    <n v="91.2"/>
    <n v="2"/>
    <n v="9.1199999999999992"/>
    <n v="191.52"/>
    <x v="85"/>
    <s v="12:35"/>
    <s v="Cash"/>
    <n v="182.4"/>
    <n v="4.7618999999999998"/>
    <n v="9.1199999999999992"/>
    <n v="8.9"/>
    <x v="85"/>
  </r>
  <r>
    <s v="A171-0921"/>
    <s v="A"/>
    <s v="Yangon"/>
    <s v="Normal"/>
    <s v="Female"/>
    <s v="Fashion accessories"/>
    <n v="35.380000000000003"/>
    <n v="5"/>
    <n v="8.85"/>
    <n v="185.75"/>
    <x v="2"/>
    <s v="12:30"/>
    <s v="Ewallet"/>
    <n v="176.9"/>
    <n v="4.7618999999999998"/>
    <n v="8.85"/>
    <n v="7.6"/>
    <x v="2"/>
  </r>
  <r>
    <s v="A112-0922"/>
    <s v="A"/>
    <s v="Yangon"/>
    <s v="Member"/>
    <s v="Male"/>
    <s v="Electronic accessories"/>
    <n v="50.95"/>
    <n v="7"/>
    <n v="17.829999999999998"/>
    <n v="374.48"/>
    <x v="75"/>
    <s v="18:10"/>
    <s v="Ewallet"/>
    <n v="356.65"/>
    <n v="4.7618999999999998"/>
    <n v="17.829999999999998"/>
    <n v="8.5"/>
    <x v="75"/>
  </r>
  <r>
    <s v="C374-0923"/>
    <s v="C"/>
    <s v="Naypyitaw"/>
    <s v="Member"/>
    <s v="Male"/>
    <s v="Sports and travel"/>
    <n v="11.86"/>
    <n v="1"/>
    <n v="0.59"/>
    <n v="12.45"/>
    <x v="80"/>
    <s v="10:10"/>
    <s v="Cash"/>
    <n v="11.86"/>
    <n v="4.7618999999999998"/>
    <n v="0.59"/>
    <n v="8.6"/>
    <x v="80"/>
  </r>
  <r>
    <s v="A554-0924"/>
    <s v="A"/>
    <s v="Yangon"/>
    <s v="Member"/>
    <s v="Female"/>
    <s v="Health and beauty"/>
    <n v="58.81"/>
    <n v="6"/>
    <n v="17.64"/>
    <n v="370.5"/>
    <x v="22"/>
    <s v="13:10"/>
    <s v="Credit card"/>
    <n v="352.86"/>
    <n v="4.7618999999999998"/>
    <n v="17.64"/>
    <n v="8.6"/>
    <x v="22"/>
  </r>
  <r>
    <s v="A944-0925"/>
    <s v="A"/>
    <s v="Yangon"/>
    <s v="Normal"/>
    <s v="Male"/>
    <s v="Sports and travel"/>
    <n v="23.91"/>
    <n v="1"/>
    <n v="1.2"/>
    <n v="25.11"/>
    <x v="63"/>
    <s v="14:50"/>
    <s v="Ewallet"/>
    <n v="23.91"/>
    <n v="4.7618999999999998"/>
    <n v="1.2"/>
    <n v="4.7"/>
    <x v="63"/>
  </r>
  <r>
    <s v="A494-0926"/>
    <s v="A"/>
    <s v="Yangon"/>
    <s v="Member"/>
    <s v="Male"/>
    <s v="Health and beauty"/>
    <n v="56.04"/>
    <n v="7"/>
    <n v="19.61"/>
    <n v="411.89"/>
    <x v="8"/>
    <s v="10:15"/>
    <s v="Cash"/>
    <n v="392.28"/>
    <n v="4.7618999999999998"/>
    <n v="19.61"/>
    <n v="5.4"/>
    <x v="8"/>
  </r>
  <r>
    <s v="A329-0927"/>
    <s v="A"/>
    <s v="Yangon"/>
    <s v="Normal"/>
    <s v="Male"/>
    <s v="Electronic accessories"/>
    <n v="92.95"/>
    <n v="7"/>
    <n v="32.53"/>
    <n v="683.18"/>
    <x v="65"/>
    <s v="11:35"/>
    <s v="Cash"/>
    <n v="650.65"/>
    <n v="4.7618999999999998"/>
    <n v="32.53"/>
    <n v="9.9"/>
    <x v="65"/>
  </r>
  <r>
    <s v="A538-0928"/>
    <s v="A"/>
    <s v="Yangon"/>
    <s v="Normal"/>
    <s v="Male"/>
    <s v="Health and beauty"/>
    <n v="65.41"/>
    <n v="2"/>
    <n v="6.54"/>
    <n v="137.36000000000001"/>
    <x v="53"/>
    <s v="11:00"/>
    <s v="Ewallet"/>
    <n v="130.82"/>
    <n v="4.7618999999999998"/>
    <n v="6.54"/>
    <n v="4.9000000000000004"/>
    <x v="53"/>
  </r>
  <r>
    <s v="C611-0929"/>
    <s v="C"/>
    <s v="Naypyitaw"/>
    <s v="Normal"/>
    <s v="Female"/>
    <s v="Fashion accessories"/>
    <n v="48.27"/>
    <n v="5"/>
    <n v="12.07"/>
    <n v="253.42"/>
    <x v="34"/>
    <s v="14:25"/>
    <s v="Cash"/>
    <n v="241.35"/>
    <n v="4.7618999999999998"/>
    <n v="12.07"/>
    <n v="5.6"/>
    <x v="34"/>
  </r>
  <r>
    <s v="C557-0930"/>
    <s v="C"/>
    <s v="Naypyitaw"/>
    <s v="Normal"/>
    <s v="Male"/>
    <s v="Fashion accessories"/>
    <n v="81.88"/>
    <n v="1"/>
    <n v="4.09"/>
    <n v="85.97"/>
    <x v="82"/>
    <s v="20:10"/>
    <s v="Credit card"/>
    <n v="81.88"/>
    <n v="4.7618999999999998"/>
    <n v="4.09"/>
    <n v="4.9000000000000004"/>
    <x v="82"/>
  </r>
  <r>
    <s v="C494-0931"/>
    <s v="C"/>
    <s v="Naypyitaw"/>
    <s v="Normal"/>
    <s v="Female"/>
    <s v="Health and beauty"/>
    <n v="62.01"/>
    <n v="5"/>
    <n v="15.5"/>
    <n v="325.55"/>
    <x v="8"/>
    <s v="11:25"/>
    <s v="Cash"/>
    <n v="310.05"/>
    <n v="4.7618999999999998"/>
    <n v="15.5"/>
    <n v="5.0999999999999996"/>
    <x v="8"/>
  </r>
  <r>
    <s v="B769-0932"/>
    <s v="B"/>
    <s v="Mandalay"/>
    <s v="Normal"/>
    <s v="Male"/>
    <s v="Sports and travel"/>
    <n v="53.32"/>
    <n v="7"/>
    <n v="18.66"/>
    <n v="391.9"/>
    <x v="3"/>
    <s v="20:25"/>
    <s v="Cash"/>
    <n v="373.24"/>
    <n v="4.7618999999999998"/>
    <n v="18.66"/>
    <n v="8.8000000000000007"/>
    <x v="3"/>
  </r>
  <r>
    <s v="A694-0933"/>
    <s v="A"/>
    <s v="Yangon"/>
    <s v="Normal"/>
    <s v="Male"/>
    <s v="Food and beverages"/>
    <n v="54.74"/>
    <n v="9"/>
    <n v="24.63"/>
    <n v="517.29"/>
    <x v="85"/>
    <s v="18:40"/>
    <s v="Cash"/>
    <n v="492.66"/>
    <n v="4.7618999999999998"/>
    <n v="24.63"/>
    <n v="6.3"/>
    <x v="85"/>
  </r>
  <r>
    <s v="C236-0934"/>
    <s v="C"/>
    <s v="Naypyitaw"/>
    <s v="Normal"/>
    <s v="Female"/>
    <s v="Fashion accessories"/>
    <n v="17.850000000000001"/>
    <n v="6"/>
    <n v="5.36"/>
    <n v="112.46"/>
    <x v="78"/>
    <s v="13:00"/>
    <s v="Credit card"/>
    <n v="107.1"/>
    <n v="4.7618999999999998"/>
    <n v="5.36"/>
    <n v="7.4"/>
    <x v="78"/>
  </r>
  <r>
    <s v="A531-0935"/>
    <s v="A"/>
    <s v="Yangon"/>
    <s v="Member"/>
    <s v="Male"/>
    <s v="Home and lifestyle"/>
    <n v="86.39"/>
    <n v="3"/>
    <n v="12.96"/>
    <n v="272.13"/>
    <x v="60"/>
    <s v="17:10"/>
    <s v="Ewallet"/>
    <n v="259.17"/>
    <n v="4.7618999999999998"/>
    <n v="12.96"/>
    <n v="9.8000000000000007"/>
    <x v="60"/>
  </r>
  <r>
    <s v="A534-0936"/>
    <s v="A"/>
    <s v="Yangon"/>
    <s v="Member"/>
    <s v="Female"/>
    <s v="Health and beauty"/>
    <n v="77.23"/>
    <n v="2"/>
    <n v="7.72"/>
    <n v="162.18"/>
    <x v="8"/>
    <s v="16:55"/>
    <s v="Cash"/>
    <n v="154.46"/>
    <n v="4.7618999999999998"/>
    <n v="7.72"/>
    <n v="8.1999999999999993"/>
    <x v="8"/>
  </r>
  <r>
    <s v="B180-0937"/>
    <s v="B"/>
    <s v="Mandalay"/>
    <s v="Member"/>
    <s v="Female"/>
    <s v="Fashion accessories"/>
    <n v="62.34"/>
    <n v="8"/>
    <n v="24.94"/>
    <n v="523.66"/>
    <x v="10"/>
    <s v="12:00"/>
    <s v="Cash"/>
    <n v="498.72"/>
    <n v="4.7618999999999998"/>
    <n v="24.94"/>
    <n v="6.2"/>
    <x v="10"/>
  </r>
  <r>
    <s v="A640-0938"/>
    <s v="A"/>
    <s v="Yangon"/>
    <s v="Member"/>
    <s v="Female"/>
    <s v="Food and beverages"/>
    <n v="84.8"/>
    <n v="7"/>
    <n v="29.68"/>
    <n v="623.28"/>
    <x v="82"/>
    <s v="12:35"/>
    <s v="Ewallet"/>
    <n v="593.6"/>
    <n v="4.7618999999999998"/>
    <n v="29.68"/>
    <n v="4.8"/>
    <x v="82"/>
  </r>
  <r>
    <s v="C757-0939"/>
    <s v="C"/>
    <s v="Naypyitaw"/>
    <s v="Normal"/>
    <s v="Male"/>
    <s v="Sports and travel"/>
    <n v="75.03"/>
    <n v="8"/>
    <n v="30.01"/>
    <n v="630.25"/>
    <x v="80"/>
    <s v="10:20"/>
    <s v="Cash"/>
    <n v="600.24"/>
    <n v="4.7618999999999998"/>
    <n v="30.01"/>
    <n v="4.9000000000000004"/>
    <x v="80"/>
  </r>
  <r>
    <s v="A685-0940"/>
    <s v="A"/>
    <s v="Yangon"/>
    <s v="Member"/>
    <s v="Female"/>
    <s v="Health and beauty"/>
    <n v="45.68"/>
    <n v="7"/>
    <n v="15.99"/>
    <n v="335.75"/>
    <x v="65"/>
    <s v="17:40"/>
    <s v="Ewallet"/>
    <n v="319.76"/>
    <n v="4.7618999999999998"/>
    <n v="15.99"/>
    <n v="9"/>
    <x v="65"/>
  </r>
  <r>
    <s v="C510-0941"/>
    <s v="C"/>
    <s v="Naypyitaw"/>
    <s v="Normal"/>
    <s v="Female"/>
    <s v="Sports and travel"/>
    <n v="93.83"/>
    <n v="5"/>
    <n v="23.46"/>
    <n v="492.61"/>
    <x v="19"/>
    <s v="18:30"/>
    <s v="Cash"/>
    <n v="469.15"/>
    <n v="4.7618999999999998"/>
    <n v="23.46"/>
    <n v="8.5"/>
    <x v="19"/>
  </r>
  <r>
    <s v="C768-0942"/>
    <s v="C"/>
    <s v="Naypyitaw"/>
    <s v="Member"/>
    <s v="Female"/>
    <s v="Sports and travel"/>
    <n v="26.53"/>
    <n v="9"/>
    <n v="11.94"/>
    <n v="250.71"/>
    <x v="3"/>
    <s v="11:55"/>
    <s v="Credit card"/>
    <n v="238.77"/>
    <n v="4.7618999999999998"/>
    <n v="11.94"/>
    <n v="6.9"/>
    <x v="3"/>
  </r>
  <r>
    <s v="C179-0943"/>
    <s v="C"/>
    <s v="Naypyitaw"/>
    <s v="Normal"/>
    <s v="Male"/>
    <s v="Electronic accessories"/>
    <n v="14.92"/>
    <n v="6"/>
    <n v="4.4800000000000004"/>
    <n v="94"/>
    <x v="80"/>
    <s v="16:15"/>
    <s v="Credit card"/>
    <n v="89.52"/>
    <n v="4.7618999999999998"/>
    <n v="4.4800000000000004"/>
    <n v="4.7"/>
    <x v="80"/>
  </r>
  <r>
    <s v="B416-0944"/>
    <s v="B"/>
    <s v="Mandalay"/>
    <s v="Normal"/>
    <s v="Female"/>
    <s v="Electronic accessories"/>
    <n v="35.4"/>
    <n v="9"/>
    <n v="15.93"/>
    <n v="334.53"/>
    <x v="42"/>
    <s v="11:15"/>
    <s v="Ewallet"/>
    <n v="318.60000000000002"/>
    <n v="4.7618999999999998"/>
    <n v="15.93"/>
    <n v="4.0999999999999996"/>
    <x v="42"/>
  </r>
  <r>
    <s v="A422-0945"/>
    <s v="A"/>
    <s v="Yangon"/>
    <s v="Member"/>
    <s v="Female"/>
    <s v="Electronic accessories"/>
    <n v="34.229999999999997"/>
    <n v="10"/>
    <n v="17.12"/>
    <n v="359.42"/>
    <x v="86"/>
    <s v="10:45"/>
    <s v="Credit card"/>
    <n v="342.3"/>
    <n v="4.7618999999999998"/>
    <n v="17.12"/>
    <n v="4.3"/>
    <x v="86"/>
  </r>
  <r>
    <s v="A232-0946"/>
    <s v="A"/>
    <s v="Yangon"/>
    <s v="Normal"/>
    <s v="Female"/>
    <s v="Home and lifestyle"/>
    <n v="77.650000000000006"/>
    <n v="7"/>
    <n v="27.18"/>
    <n v="570.73"/>
    <x v="1"/>
    <s v="13:25"/>
    <s v="Credit card"/>
    <n v="543.54999999999995"/>
    <n v="4.7618999999999998"/>
    <n v="27.18"/>
    <n v="8.4"/>
    <x v="1"/>
  </r>
  <r>
    <s v="C491-0947"/>
    <s v="C"/>
    <s v="Naypyitaw"/>
    <s v="Member"/>
    <s v="Male"/>
    <s v="Sports and travel"/>
    <n v="90.69"/>
    <n v="9"/>
    <n v="40.81"/>
    <n v="857.02"/>
    <x v="75"/>
    <s v="18:10"/>
    <s v="Cash"/>
    <n v="816.21"/>
    <n v="4.7618999999999998"/>
    <n v="40.81"/>
    <n v="7.5"/>
    <x v="75"/>
  </r>
  <r>
    <s v="B320-0948"/>
    <s v="B"/>
    <s v="Mandalay"/>
    <s v="Member"/>
    <s v="Male"/>
    <s v="Electronic accessories"/>
    <n v="23.64"/>
    <n v="8"/>
    <n v="9.4600000000000009"/>
    <n v="198.58"/>
    <x v="22"/>
    <s v="20:05"/>
    <s v="Ewallet"/>
    <n v="189.12"/>
    <n v="4.7618999999999998"/>
    <n v="9.4600000000000009"/>
    <n v="5.4"/>
    <x v="22"/>
  </r>
  <r>
    <s v="C447-0949"/>
    <s v="C"/>
    <s v="Naypyitaw"/>
    <s v="Member"/>
    <s v="Female"/>
    <s v="Food and beverages"/>
    <n v="56.47"/>
    <n v="10"/>
    <n v="28.24"/>
    <n v="592.94000000000005"/>
    <x v="62"/>
    <s v="18:25"/>
    <s v="Credit card"/>
    <n v="564.70000000000005"/>
    <n v="4.7618999999999998"/>
    <n v="28.24"/>
    <n v="8.6999999999999993"/>
    <x v="62"/>
  </r>
  <r>
    <s v="B256-0950"/>
    <s v="B"/>
    <s v="Mandalay"/>
    <s v="Normal"/>
    <s v="Male"/>
    <s v="Health and beauty"/>
    <n v="90.16"/>
    <n v="7"/>
    <n v="31.56"/>
    <n v="662.68"/>
    <x v="35"/>
    <s v="13:45"/>
    <s v="Ewallet"/>
    <n v="631.12"/>
    <n v="4.7618999999999998"/>
    <n v="31.56"/>
    <n v="4.4000000000000004"/>
    <x v="35"/>
  </r>
  <r>
    <s v="C273-0951"/>
    <s v="C"/>
    <s v="Naypyitaw"/>
    <s v="Normal"/>
    <s v="Female"/>
    <s v="Health and beauty"/>
    <n v="22.84"/>
    <n v="5"/>
    <n v="5.71"/>
    <n v="119.91"/>
    <x v="25"/>
    <s v="11:35"/>
    <s v="Cash"/>
    <n v="114.2"/>
    <n v="4.7618999999999998"/>
    <n v="5.71"/>
    <n v="6.7"/>
    <x v="25"/>
  </r>
  <r>
    <s v="B364-0952"/>
    <s v="B"/>
    <s v="Mandalay"/>
    <s v="Member"/>
    <s v="Female"/>
    <s v="Home and lifestyle"/>
    <n v="61.89"/>
    <n v="6"/>
    <n v="18.57"/>
    <n v="389.91"/>
    <x v="19"/>
    <s v="11:10"/>
    <s v="Ewallet"/>
    <n v="371.34"/>
    <n v="4.7618999999999998"/>
    <n v="18.57"/>
    <n v="8.6"/>
    <x v="19"/>
  </r>
  <r>
    <s v="B510-0953"/>
    <s v="B"/>
    <s v="Mandalay"/>
    <s v="Normal"/>
    <s v="Male"/>
    <s v="Fashion accessories"/>
    <n v="93.17"/>
    <n v="2"/>
    <n v="9.32"/>
    <n v="195.66"/>
    <x v="86"/>
    <s v="17:00"/>
    <s v="Credit card"/>
    <n v="186.34"/>
    <n v="4.7618999999999998"/>
    <n v="9.32"/>
    <n v="9.1999999999999993"/>
    <x v="86"/>
  </r>
  <r>
    <s v="B560-0954"/>
    <s v="B"/>
    <s v="Mandalay"/>
    <s v="Member"/>
    <s v="Male"/>
    <s v="Home and lifestyle"/>
    <n v="56.12"/>
    <n v="10"/>
    <n v="28.06"/>
    <n v="589.26"/>
    <x v="56"/>
    <s v="15:05"/>
    <s v="Ewallet"/>
    <n v="561.20000000000005"/>
    <n v="4.7618999999999998"/>
    <n v="28.06"/>
    <n v="6.5"/>
    <x v="56"/>
  </r>
  <r>
    <s v="B683-0955"/>
    <s v="B"/>
    <s v="Mandalay"/>
    <s v="Member"/>
    <s v="Female"/>
    <s v="Fashion accessories"/>
    <n v="81.150000000000006"/>
    <n v="9"/>
    <n v="36.520000000000003"/>
    <n v="766.87"/>
    <x v="77"/>
    <s v="12:05"/>
    <s v="Credit card"/>
    <n v="730.35"/>
    <n v="4.7618999999999998"/>
    <n v="36.520000000000003"/>
    <n v="6.3"/>
    <x v="77"/>
  </r>
  <r>
    <s v="B937-0956"/>
    <s v="B"/>
    <s v="Mandalay"/>
    <s v="Member"/>
    <s v="Female"/>
    <s v="Sports and travel"/>
    <n v="88.67"/>
    <n v="2"/>
    <n v="8.8699999999999992"/>
    <n v="186.21"/>
    <x v="66"/>
    <s v="17:35"/>
    <s v="Ewallet"/>
    <n v="177.34"/>
    <n v="4.7618999999999998"/>
    <n v="8.8699999999999992"/>
    <n v="7.2"/>
    <x v="66"/>
  </r>
  <r>
    <s v="B450-0957"/>
    <s v="B"/>
    <s v="Mandalay"/>
    <s v="Member"/>
    <s v="Female"/>
    <s v="Electronic accessories"/>
    <n v="75.86"/>
    <n v="7"/>
    <n v="26.55"/>
    <n v="557.57000000000005"/>
    <x v="11"/>
    <s v="13:30"/>
    <s v="Credit card"/>
    <n v="531.02"/>
    <n v="4.7618999999999998"/>
    <n v="26.55"/>
    <n v="4.4000000000000004"/>
    <x v="11"/>
  </r>
  <r>
    <s v="C581-0958"/>
    <s v="C"/>
    <s v="Naypyitaw"/>
    <s v="Normal"/>
    <s v="Female"/>
    <s v="Fashion accessories"/>
    <n v="76.72"/>
    <n v="2"/>
    <n v="7.67"/>
    <n v="161.11000000000001"/>
    <x v="31"/>
    <s v="17:00"/>
    <s v="Ewallet"/>
    <n v="153.44"/>
    <n v="4.7618999999999998"/>
    <n v="7.67"/>
    <n v="4.9000000000000004"/>
    <x v="31"/>
  </r>
  <r>
    <s v="A318-0959"/>
    <s v="A"/>
    <s v="Yangon"/>
    <s v="Member"/>
    <s v="Male"/>
    <s v="Food and beverages"/>
    <n v="12.82"/>
    <n v="10"/>
    <n v="6.41"/>
    <n v="134.61000000000001"/>
    <x v="79"/>
    <s v="10:25"/>
    <s v="Credit card"/>
    <n v="128.19999999999999"/>
    <n v="4.7618999999999998"/>
    <n v="6.41"/>
    <n v="9.9"/>
    <x v="79"/>
  </r>
  <r>
    <s v="A514-0960"/>
    <s v="A"/>
    <s v="Yangon"/>
    <s v="Member"/>
    <s v="Female"/>
    <s v="Fashion accessories"/>
    <n v="48.06"/>
    <n v="5"/>
    <n v="12.02"/>
    <n v="252.32"/>
    <x v="5"/>
    <s v="12:05"/>
    <s v="Cash"/>
    <n v="240.3"/>
    <n v="4.7618999999999998"/>
    <n v="12.02"/>
    <n v="4.4000000000000004"/>
    <x v="5"/>
  </r>
  <r>
    <s v="A871-0961"/>
    <s v="A"/>
    <s v="Yangon"/>
    <s v="Normal"/>
    <s v="Male"/>
    <s v="Sports and travel"/>
    <n v="57.23"/>
    <n v="5"/>
    <n v="14.31"/>
    <n v="300.45999999999998"/>
    <x v="18"/>
    <s v="10:05"/>
    <s v="Credit card"/>
    <n v="286.14999999999998"/>
    <n v="4.7618999999999998"/>
    <n v="14.31"/>
    <n v="6.1"/>
    <x v="18"/>
  </r>
  <r>
    <s v="B547-0962"/>
    <s v="B"/>
    <s v="Mandalay"/>
    <s v="Member"/>
    <s v="Female"/>
    <s v="Home and lifestyle"/>
    <n v="94.77"/>
    <n v="8"/>
    <n v="37.909999999999997"/>
    <n v="796.07"/>
    <x v="50"/>
    <s v="18:55"/>
    <s v="Cash"/>
    <n v="758.16"/>
    <n v="4.7618999999999998"/>
    <n v="37.909999999999997"/>
    <n v="9.8000000000000007"/>
    <x v="50"/>
  </r>
  <r>
    <s v="B248-0963"/>
    <s v="B"/>
    <s v="Mandalay"/>
    <s v="Normal"/>
    <s v="Female"/>
    <s v="Food and beverages"/>
    <n v="80.48"/>
    <n v="10"/>
    <n v="40.24"/>
    <n v="845.04"/>
    <x v="30"/>
    <s v="11:55"/>
    <s v="Ewallet"/>
    <n v="804.8"/>
    <n v="4.7618999999999998"/>
    <n v="40.24"/>
    <n v="7.5"/>
    <x v="30"/>
  </r>
  <r>
    <s v="B633-0964"/>
    <s v="B"/>
    <s v="Mandalay"/>
    <s v="Normal"/>
    <s v="Female"/>
    <s v="Electronic accessories"/>
    <n v="90.69"/>
    <n v="3"/>
    <n v="13.6"/>
    <n v="285.67"/>
    <x v="85"/>
    <s v="15:05"/>
    <s v="Ewallet"/>
    <n v="272.07"/>
    <n v="4.7618999999999998"/>
    <n v="13.6"/>
    <n v="6.4"/>
    <x v="85"/>
  </r>
  <r>
    <s v="C530-0965"/>
    <s v="C"/>
    <s v="Naypyitaw"/>
    <s v="Member"/>
    <s v="Male"/>
    <s v="Electronic accessories"/>
    <n v="67.09"/>
    <n v="10"/>
    <n v="33.549999999999997"/>
    <n v="704.45"/>
    <x v="75"/>
    <s v="10:15"/>
    <s v="Ewallet"/>
    <n v="670.9"/>
    <n v="4.7618999999999998"/>
    <n v="33.549999999999997"/>
    <n v="9.9"/>
    <x v="75"/>
  </r>
  <r>
    <s v="C116-0966"/>
    <s v="C"/>
    <s v="Naypyitaw"/>
    <s v="Member"/>
    <s v="Male"/>
    <s v="Electronic accessories"/>
    <n v="41.33"/>
    <n v="4"/>
    <n v="8.27"/>
    <n v="173.59"/>
    <x v="61"/>
    <s v="19:00"/>
    <s v="Credit card"/>
    <n v="165.32"/>
    <n v="4.7618999999999998"/>
    <n v="8.27"/>
    <n v="8.9"/>
    <x v="61"/>
  </r>
  <r>
    <s v="B536-0967"/>
    <s v="B"/>
    <s v="Mandalay"/>
    <s v="Normal"/>
    <s v="Female"/>
    <s v="Fashion accessories"/>
    <n v="54.92"/>
    <n v="8"/>
    <n v="21.97"/>
    <n v="461.33"/>
    <x v="29"/>
    <s v="16:25"/>
    <s v="Credit card"/>
    <n v="439.36"/>
    <n v="4.7618999999999998"/>
    <n v="21.97"/>
    <n v="9"/>
    <x v="29"/>
  </r>
  <r>
    <s v="C490-0968"/>
    <s v="C"/>
    <s v="Naypyitaw"/>
    <s v="Normal"/>
    <s v="Female"/>
    <s v="Electronic accessories"/>
    <n v="51.29"/>
    <n v="6"/>
    <n v="15.39"/>
    <n v="323.13"/>
    <x v="32"/>
    <s v="18:45"/>
    <s v="Cash"/>
    <n v="307.74"/>
    <n v="4.7618999999999998"/>
    <n v="15.39"/>
    <n v="7.3"/>
    <x v="32"/>
  </r>
  <r>
    <s v="B521-0969"/>
    <s v="B"/>
    <s v="Mandalay"/>
    <s v="Normal"/>
    <s v="Male"/>
    <s v="Fashion accessories"/>
    <n v="65.83"/>
    <n v="2"/>
    <n v="6.58"/>
    <n v="138.24"/>
    <x v="19"/>
    <s v="11:05"/>
    <s v="Ewallet"/>
    <n v="131.66"/>
    <n v="4.7618999999999998"/>
    <n v="6.58"/>
    <n v="4.0999999999999996"/>
    <x v="19"/>
  </r>
  <r>
    <s v="A895-0970"/>
    <s v="A"/>
    <s v="Yangon"/>
    <s v="Normal"/>
    <s v="Female"/>
    <s v="Fashion accessories"/>
    <n v="49.97"/>
    <n v="10"/>
    <n v="24.98"/>
    <n v="524.67999999999995"/>
    <x v="52"/>
    <s v="20:20"/>
    <s v="Credit card"/>
    <n v="499.7"/>
    <n v="4.7618999999999998"/>
    <n v="24.98"/>
    <n v="5.3"/>
    <x v="52"/>
  </r>
  <r>
    <s v="B858-0971"/>
    <s v="B"/>
    <s v="Mandalay"/>
    <s v="Normal"/>
    <s v="Female"/>
    <s v="Electronic accessories"/>
    <n v="87.07"/>
    <n v="2"/>
    <n v="8.7100000000000009"/>
    <n v="182.85"/>
    <x v="66"/>
    <s v="17:30"/>
    <s v="Ewallet"/>
    <n v="174.14"/>
    <n v="4.7618999999999998"/>
    <n v="8.7100000000000009"/>
    <n v="8.1999999999999993"/>
    <x v="66"/>
  </r>
  <r>
    <s v="B104-0972"/>
    <s v="B"/>
    <s v="Mandalay"/>
    <s v="Member"/>
    <s v="Male"/>
    <s v="Electronic accessories"/>
    <n v="55.68"/>
    <n v="5"/>
    <n v="13.92"/>
    <n v="292.32"/>
    <x v="13"/>
    <s v="14:20"/>
    <s v="Credit card"/>
    <n v="278.39999999999998"/>
    <n v="4.7618999999999998"/>
    <n v="13.92"/>
    <n v="8"/>
    <x v="13"/>
  </r>
  <r>
    <s v="B685-0973"/>
    <s v="B"/>
    <s v="Mandalay"/>
    <s v="Member"/>
    <s v="Female"/>
    <s v="Health and beauty"/>
    <n v="23.8"/>
    <n v="6"/>
    <n v="7.14"/>
    <n v="149.94"/>
    <x v="72"/>
    <s v="19:25"/>
    <s v="Credit card"/>
    <n v="142.80000000000001"/>
    <n v="4.7618999999999998"/>
    <n v="7.14"/>
    <n v="5"/>
    <x v="72"/>
  </r>
  <r>
    <s v="B499-0974"/>
    <s v="B"/>
    <s v="Mandalay"/>
    <s v="Member"/>
    <s v="Male"/>
    <s v="Electronic accessories"/>
    <n v="65.459999999999994"/>
    <n v="7"/>
    <n v="22.91"/>
    <n v="481.13"/>
    <x v="73"/>
    <s v="19:30"/>
    <s v="Cash"/>
    <n v="458.22"/>
    <n v="4.7618999999999998"/>
    <n v="22.91"/>
    <n v="9.6"/>
    <x v="73"/>
  </r>
  <r>
    <s v="C746-0975"/>
    <s v="C"/>
    <s v="Naypyitaw"/>
    <s v="Member"/>
    <s v="Male"/>
    <s v="Home and lifestyle"/>
    <n v="56.55"/>
    <n v="7"/>
    <n v="19.79"/>
    <n v="415.64"/>
    <x v="57"/>
    <s v="11:55"/>
    <s v="Cash"/>
    <n v="395.85"/>
    <n v="4.7618999999999998"/>
    <n v="19.79"/>
    <n v="7"/>
    <x v="57"/>
  </r>
  <r>
    <s v="C743-0976"/>
    <s v="C"/>
    <s v="Naypyitaw"/>
    <s v="Normal"/>
    <s v="Male"/>
    <s v="Food and beverages"/>
    <n v="24.31"/>
    <n v="6"/>
    <n v="7.29"/>
    <n v="153.15"/>
    <x v="83"/>
    <s v="11:05"/>
    <s v="Cash"/>
    <n v="145.86000000000001"/>
    <n v="4.7618999999999998"/>
    <n v="7.29"/>
    <n v="6.6"/>
    <x v="83"/>
  </r>
  <r>
    <s v="C564-0977"/>
    <s v="C"/>
    <s v="Naypyitaw"/>
    <s v="Member"/>
    <s v="Female"/>
    <s v="Food and beverages"/>
    <n v="73.680000000000007"/>
    <n v="2"/>
    <n v="7.37"/>
    <n v="154.72999999999999"/>
    <x v="4"/>
    <s v="16:00"/>
    <s v="Ewallet"/>
    <n v="147.36000000000001"/>
    <n v="4.7618999999999998"/>
    <n v="7.37"/>
    <n v="8.4"/>
    <x v="4"/>
  </r>
  <r>
    <s v="C926-0978"/>
    <s v="C"/>
    <s v="Naypyitaw"/>
    <s v="Normal"/>
    <s v="Female"/>
    <s v="Electronic accessories"/>
    <n v="68.73"/>
    <n v="4"/>
    <n v="13.75"/>
    <n v="288.67"/>
    <x v="24"/>
    <s v="13:40"/>
    <s v="Cash"/>
    <n v="274.92"/>
    <n v="4.7618999999999998"/>
    <n v="13.75"/>
    <n v="8.4"/>
    <x v="24"/>
  </r>
  <r>
    <s v="B213-0979"/>
    <s v="B"/>
    <s v="Mandalay"/>
    <s v="Normal"/>
    <s v="Female"/>
    <s v="Home and lifestyle"/>
    <n v="17.47"/>
    <n v="3"/>
    <n v="2.62"/>
    <n v="55.03"/>
    <x v="58"/>
    <s v="10:50"/>
    <s v="Ewallet"/>
    <n v="52.41"/>
    <n v="4.7618999999999998"/>
    <n v="2.62"/>
    <n v="9.1999999999999993"/>
    <x v="58"/>
  </r>
  <r>
    <s v="B312-0980"/>
    <s v="B"/>
    <s v="Mandalay"/>
    <s v="Member"/>
    <s v="Female"/>
    <s v="Electronic accessories"/>
    <n v="35.42"/>
    <n v="3"/>
    <n v="5.31"/>
    <n v="111.57"/>
    <x v="19"/>
    <s v="11:35"/>
    <s v="Credit card"/>
    <n v="106.26"/>
    <n v="4.7618999999999998"/>
    <n v="5.31"/>
    <n v="9.5"/>
    <x v="19"/>
  </r>
  <r>
    <s v="B421-0981"/>
    <s v="B"/>
    <s v="Mandalay"/>
    <s v="Member"/>
    <s v="Male"/>
    <s v="Health and beauty"/>
    <n v="47.24"/>
    <n v="8"/>
    <n v="18.899999999999999"/>
    <n v="396.82"/>
    <x v="58"/>
    <s v="11:15"/>
    <s v="Ewallet"/>
    <n v="377.92"/>
    <n v="4.7618999999999998"/>
    <n v="18.899999999999999"/>
    <n v="6.5"/>
    <x v="58"/>
  </r>
  <r>
    <s v="C220-0982"/>
    <s v="C"/>
    <s v="Naypyitaw"/>
    <s v="Normal"/>
    <s v="Female"/>
    <s v="Electronic accessories"/>
    <n v="36.89"/>
    <n v="3"/>
    <n v="5.53"/>
    <n v="116.2"/>
    <x v="13"/>
    <s v="19:50"/>
    <s v="Ewallet"/>
    <n v="110.67"/>
    <n v="4.7618999999999998"/>
    <n v="5.53"/>
    <n v="9.1"/>
    <x v="13"/>
  </r>
  <r>
    <s v="B297-0983"/>
    <s v="B"/>
    <s v="Mandalay"/>
    <s v="Normal"/>
    <s v="Male"/>
    <s v="Food and beverages"/>
    <n v="64"/>
    <n v="1"/>
    <n v="3.2"/>
    <n v="67.2"/>
    <x v="2"/>
    <s v="18:55"/>
    <s v="Credit card"/>
    <n v="64"/>
    <n v="4.7618999999999998"/>
    <n v="3.2"/>
    <n v="9.6"/>
    <x v="2"/>
  </r>
  <r>
    <s v="C241-0984"/>
    <s v="C"/>
    <s v="Naypyitaw"/>
    <s v="Member"/>
    <s v="Female"/>
    <s v="Food and beverages"/>
    <n v="56.06"/>
    <n v="3"/>
    <n v="8.41"/>
    <n v="176.59"/>
    <x v="69"/>
    <s v="15:05"/>
    <s v="Cash"/>
    <n v="168.18"/>
    <n v="4.7618999999999998"/>
    <n v="8.41"/>
    <n v="4.2"/>
    <x v="69"/>
  </r>
  <r>
    <s v="A578-0985"/>
    <s v="A"/>
    <s v="Yangon"/>
    <s v="Member"/>
    <s v="Female"/>
    <s v="Home and lifestyle"/>
    <n v="34.630000000000003"/>
    <n v="4"/>
    <n v="6.93"/>
    <n v="145.44999999999999"/>
    <x v="19"/>
    <s v="15:55"/>
    <s v="Ewallet"/>
    <n v="138.52000000000001"/>
    <n v="4.7618999999999998"/>
    <n v="6.93"/>
    <n v="7.9"/>
    <x v="19"/>
  </r>
  <r>
    <s v="C834-0986"/>
    <s v="C"/>
    <s v="Naypyitaw"/>
    <s v="Normal"/>
    <s v="Male"/>
    <s v="Food and beverages"/>
    <n v="95.17"/>
    <n v="4"/>
    <n v="19.03"/>
    <n v="399.71"/>
    <x v="39"/>
    <s v="12:15"/>
    <s v="Ewallet"/>
    <n v="380.68"/>
    <n v="4.7618999999999998"/>
    <n v="19.03"/>
    <n v="9.1"/>
    <x v="39"/>
  </r>
  <r>
    <s v="B556-0987"/>
    <s v="B"/>
    <s v="Mandalay"/>
    <s v="Normal"/>
    <s v="Female"/>
    <s v="Food and beverages"/>
    <n v="81.38"/>
    <n v="10"/>
    <n v="40.69"/>
    <n v="854.49"/>
    <x v="12"/>
    <s v="12:15"/>
    <s v="Ewallet"/>
    <n v="813.8"/>
    <n v="4.7618999999999998"/>
    <n v="40.69"/>
    <n v="6.9"/>
    <x v="12"/>
  </r>
  <r>
    <s v="B747-0988"/>
    <s v="B"/>
    <s v="Mandalay"/>
    <s v="Normal"/>
    <s v="Male"/>
    <s v="Food and beverages"/>
    <n v="19.68"/>
    <n v="7"/>
    <n v="6.89"/>
    <n v="144.65"/>
    <x v="84"/>
    <s v="13:45"/>
    <s v="Credit card"/>
    <n v="137.76"/>
    <n v="4.7618999999999998"/>
    <n v="6.89"/>
    <n v="6.2"/>
    <x v="84"/>
  </r>
  <r>
    <s v="A760-0989"/>
    <s v="A"/>
    <s v="Yangon"/>
    <s v="Normal"/>
    <s v="Female"/>
    <s v="Health and beauty"/>
    <n v="96.23"/>
    <n v="5"/>
    <n v="24.06"/>
    <n v="505.21"/>
    <x v="14"/>
    <s v="16:20"/>
    <s v="Ewallet"/>
    <n v="481.15"/>
    <n v="4.7618999999999998"/>
    <n v="24.06"/>
    <n v="9"/>
    <x v="14"/>
  </r>
  <r>
    <s v="C772-0990"/>
    <s v="C"/>
    <s v="Naypyitaw"/>
    <s v="Normal"/>
    <s v="Male"/>
    <s v="Health and beauty"/>
    <n v="20.32"/>
    <n v="6"/>
    <n v="6.1"/>
    <n v="128.02000000000001"/>
    <x v="84"/>
    <s v="12:25"/>
    <s v="Cash"/>
    <n v="121.92"/>
    <n v="4.7618999999999998"/>
    <n v="6.1"/>
    <n v="4.4000000000000004"/>
    <x v="84"/>
  </r>
  <r>
    <s v="B681-0991"/>
    <s v="B"/>
    <s v="Mandalay"/>
    <s v="Normal"/>
    <s v="Female"/>
    <s v="Home and lifestyle"/>
    <n v="21.01"/>
    <n v="6"/>
    <n v="6.3"/>
    <n v="132.36000000000001"/>
    <x v="81"/>
    <s v="10:55"/>
    <s v="Credit card"/>
    <n v="126.06"/>
    <n v="4.7618999999999998"/>
    <n v="6.3"/>
    <n v="5.3"/>
    <x v="81"/>
  </r>
  <r>
    <s v="B722-0992"/>
    <s v="B"/>
    <s v="Mandalay"/>
    <s v="Member"/>
    <s v="Female"/>
    <s v="Sports and travel"/>
    <n v="35.53"/>
    <n v="4"/>
    <n v="7.11"/>
    <n v="149.22999999999999"/>
    <x v="70"/>
    <s v="13:05"/>
    <s v="Ewallet"/>
    <n v="142.12"/>
    <n v="4.7618999999999998"/>
    <n v="7.11"/>
    <n v="5.7"/>
    <x v="70"/>
  </r>
  <r>
    <s v="C610-0993"/>
    <s v="C"/>
    <s v="Naypyitaw"/>
    <s v="Member"/>
    <s v="Male"/>
    <s v="Fashion accessories"/>
    <n v="78.06"/>
    <n v="6"/>
    <n v="23.42"/>
    <n v="491.78"/>
    <x v="56"/>
    <s v="13:15"/>
    <s v="Cash"/>
    <n v="468.36"/>
    <n v="4.7618999999999998"/>
    <n v="23.42"/>
    <n v="8.8000000000000007"/>
    <x v="56"/>
  </r>
  <r>
    <s v="A121-0994"/>
    <s v="A"/>
    <s v="Yangon"/>
    <s v="Normal"/>
    <s v="Male"/>
    <s v="Health and beauty"/>
    <n v="21.17"/>
    <n v="3"/>
    <n v="3.18"/>
    <n v="66.69"/>
    <x v="10"/>
    <s v="15:45"/>
    <s v="Credit card"/>
    <n v="63.51"/>
    <n v="4.7618999999999998"/>
    <n v="3.18"/>
    <n v="5.4"/>
    <x v="10"/>
  </r>
  <r>
    <s v="B116-0995"/>
    <s v="B"/>
    <s v="Mandalay"/>
    <s v="Member"/>
    <s v="Female"/>
    <s v="Sports and travel"/>
    <n v="35.590000000000003"/>
    <n v="7"/>
    <n v="12.46"/>
    <n v="261.58999999999997"/>
    <x v="52"/>
    <s v="18:40"/>
    <s v="Cash"/>
    <n v="249.13"/>
    <n v="4.7618999999999998"/>
    <n v="12.46"/>
    <n v="6"/>
    <x v="52"/>
  </r>
  <r>
    <s v="A420-0996"/>
    <s v="A"/>
    <s v="Yangon"/>
    <s v="Normal"/>
    <s v="Female"/>
    <s v="Sports and travel"/>
    <n v="75.09"/>
    <n v="5"/>
    <n v="18.77"/>
    <n v="394.22"/>
    <x v="56"/>
    <s v="15:30"/>
    <s v="Cash"/>
    <n v="375.45"/>
    <n v="4.7618999999999998"/>
    <n v="18.77"/>
    <n v="7.3"/>
    <x v="56"/>
  </r>
  <r>
    <s v="B205-0997"/>
    <s v="B"/>
    <s v="Mandalay"/>
    <s v="Member"/>
    <s v="Male"/>
    <s v="Home and lifestyle"/>
    <n v="72.680000000000007"/>
    <n v="8"/>
    <n v="29.07"/>
    <n v="610.51"/>
    <x v="85"/>
    <s v="20:05"/>
    <s v="Credit card"/>
    <n v="581.44000000000005"/>
    <n v="4.7618999999999998"/>
    <n v="29.07"/>
    <n v="9.6"/>
    <x v="85"/>
  </r>
  <r>
    <s v="A841-0998"/>
    <s v="A"/>
    <s v="Yangon"/>
    <s v="Member"/>
    <s v="Female"/>
    <s v="Health and beauty"/>
    <n v="22.49"/>
    <n v="6"/>
    <n v="6.75"/>
    <n v="141.69"/>
    <x v="81"/>
    <s v="16:15"/>
    <s v="Cash"/>
    <n v="134.94"/>
    <n v="4.7618999999999998"/>
    <n v="6.75"/>
    <n v="4.5"/>
    <x v="81"/>
  </r>
  <r>
    <s v="B804-0999"/>
    <s v="B"/>
    <s v="Mandalay"/>
    <s v="Member"/>
    <s v="Female"/>
    <s v="Home and lifestyle"/>
    <n v="89.5"/>
    <n v="1"/>
    <n v="4.4800000000000004"/>
    <n v="93.98"/>
    <x v="46"/>
    <s v="10:20"/>
    <s v="Cash"/>
    <n v="89.5"/>
    <n v="4.7618999999999998"/>
    <n v="4.4800000000000004"/>
    <n v="5.6"/>
    <x v="46"/>
  </r>
  <r>
    <s v="C251-1000"/>
    <s v="C"/>
    <s v="Naypyitaw"/>
    <s v="Normal"/>
    <s v="Male"/>
    <s v="Fashion accessories"/>
    <n v="25.33"/>
    <n v="3"/>
    <n v="3.8"/>
    <n v="79.790000000000006"/>
    <x v="21"/>
    <s v="17:05"/>
    <s v="Cash"/>
    <n v="75.989999999999995"/>
    <n v="4.7618999999999998"/>
    <n v="3.8"/>
    <n v="5.9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DEA99-F96C-4554-90D6-6DDC995062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7"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9B8DA-4389-4CD2-BBDB-DF4DA247607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Line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0"/>
        <item x="3"/>
        <item x="1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1"/>
    </i>
    <i>
      <x v="4"/>
    </i>
    <i>
      <x v="3"/>
    </i>
    <i>
      <x v="5"/>
    </i>
    <i>
      <x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C25CE-680A-4BEC-833A-6F788E943B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7">
    <pivotField dataField="1" showAll="0">
      <items count="1001">
        <item x="891"/>
        <item x="560"/>
        <item x="921"/>
        <item x="195"/>
        <item x="585"/>
        <item x="108"/>
        <item x="146"/>
        <item x="746"/>
        <item x="752"/>
        <item x="993"/>
        <item x="679"/>
        <item x="640"/>
        <item x="799"/>
        <item x="668"/>
        <item x="391"/>
        <item x="583"/>
        <item x="673"/>
        <item x="834"/>
        <item x="749"/>
        <item x="775"/>
        <item x="111"/>
        <item x="920"/>
        <item x="162"/>
        <item x="20"/>
        <item x="13"/>
        <item x="324"/>
        <item x="347"/>
        <item x="227"/>
        <item x="641"/>
        <item x="719"/>
        <item x="654"/>
        <item x="680"/>
        <item x="528"/>
        <item x="667"/>
        <item x="693"/>
        <item x="878"/>
        <item x="474"/>
        <item x="910"/>
        <item x="945"/>
        <item x="736"/>
        <item x="277"/>
        <item x="790"/>
        <item x="239"/>
        <item x="138"/>
        <item x="297"/>
        <item x="254"/>
        <item x="285"/>
        <item x="402"/>
        <item x="712"/>
        <item x="208"/>
        <item x="588"/>
        <item x="183"/>
        <item x="851"/>
        <item x="616"/>
        <item x="830"/>
        <item x="573"/>
        <item x="300"/>
        <item x="635"/>
        <item x="901"/>
        <item x="907"/>
        <item x="141"/>
        <item x="57"/>
        <item x="357"/>
        <item x="828"/>
        <item x="293"/>
        <item x="517"/>
        <item x="817"/>
        <item x="523"/>
        <item x="958"/>
        <item x="461"/>
        <item x="819"/>
        <item x="782"/>
        <item x="926"/>
        <item x="190"/>
        <item x="637"/>
        <item x="824"/>
        <item x="220"/>
        <item x="902"/>
        <item x="304"/>
        <item x="657"/>
        <item x="33"/>
        <item x="211"/>
        <item x="334"/>
        <item x="350"/>
        <item x="467"/>
        <item x="815"/>
        <item x="128"/>
        <item x="882"/>
        <item x="252"/>
        <item x="915"/>
        <item x="896"/>
        <item x="903"/>
        <item x="691"/>
        <item x="400"/>
        <item x="359"/>
        <item x="351"/>
        <item x="39"/>
        <item x="865"/>
        <item x="651"/>
        <item x="494"/>
        <item x="776"/>
        <item x="827"/>
        <item x="995"/>
        <item x="944"/>
        <item x="553"/>
        <item x="172"/>
        <item x="539"/>
        <item x="413"/>
        <item x="547"/>
        <item x="845"/>
        <item x="716"/>
        <item x="27"/>
        <item x="50"/>
        <item x="96"/>
        <item x="706"/>
        <item x="724"/>
        <item x="533"/>
        <item x="223"/>
        <item x="232"/>
        <item x="432"/>
        <item x="549"/>
        <item x="390"/>
        <item x="417"/>
        <item x="925"/>
        <item x="150"/>
        <item x="676"/>
        <item x="567"/>
        <item x="800"/>
        <item x="513"/>
        <item x="759"/>
        <item x="52"/>
        <item x="622"/>
        <item x="122"/>
        <item x="188"/>
        <item x="429"/>
        <item x="490"/>
        <item x="88"/>
        <item x="36"/>
        <item x="747"/>
        <item x="959"/>
        <item x="318"/>
        <item x="49"/>
        <item x="934"/>
        <item x="860"/>
        <item x="875"/>
        <item x="935"/>
        <item x="422"/>
        <item x="623"/>
        <item x="927"/>
        <item x="899"/>
        <item x="91"/>
        <item x="690"/>
        <item x="248"/>
        <item x="68"/>
        <item x="257"/>
        <item x="923"/>
        <item x="449"/>
        <item x="488"/>
        <item x="571"/>
        <item x="797"/>
        <item x="791"/>
        <item x="742"/>
        <item x="984"/>
        <item x="507"/>
        <item x="132"/>
        <item x="418"/>
        <item x="843"/>
        <item x="256"/>
        <item x="328"/>
        <item x="444"/>
        <item x="873"/>
        <item x="82"/>
        <item x="286"/>
        <item x="609"/>
        <item x="121"/>
        <item x="109"/>
        <item x="262"/>
        <item x="415"/>
        <item x="590"/>
        <item x="475"/>
        <item x="478"/>
        <item x="784"/>
        <item x="937"/>
        <item x="726"/>
        <item x="181"/>
        <item x="504"/>
        <item x="913"/>
        <item x="224"/>
        <item x="279"/>
        <item x="241"/>
        <item x="614"/>
        <item x="235"/>
        <item x="326"/>
        <item x="216"/>
        <item x="695"/>
        <item x="129"/>
        <item x="734"/>
        <item x="306"/>
        <item x="939"/>
        <item x="932"/>
        <item x="405"/>
        <item x="298"/>
        <item x="518"/>
        <item x="66"/>
        <item x="541"/>
        <item x="136"/>
        <item x="877"/>
        <item x="120"/>
        <item x="139"/>
        <item x="772"/>
        <item x="92"/>
        <item x="770"/>
        <item x="768"/>
        <item x="630"/>
        <item x="148"/>
        <item x="242"/>
        <item x="917"/>
        <item x="320"/>
        <item x="988"/>
        <item x="389"/>
        <item x="711"/>
        <item x="340"/>
        <item x="872"/>
        <item x="728"/>
        <item x="58"/>
        <item x="437"/>
        <item x="269"/>
        <item x="804"/>
        <item x="574"/>
        <item x="801"/>
        <item x="883"/>
        <item x="236"/>
        <item x="681"/>
        <item x="171"/>
        <item x="469"/>
        <item x="570"/>
        <item x="31"/>
        <item x="381"/>
        <item x="355"/>
        <item x="876"/>
        <item x="295"/>
        <item x="428"/>
        <item x="900"/>
        <item x="387"/>
        <item x="697"/>
        <item x="757"/>
        <item x="81"/>
        <item x="332"/>
        <item x="684"/>
        <item x="378"/>
        <item x="202"/>
        <item x="140"/>
        <item x="669"/>
        <item x="997"/>
        <item x="313"/>
        <item x="764"/>
        <item x="886"/>
        <item x="361"/>
        <item x="477"/>
        <item x="596"/>
        <item x="794"/>
        <item x="100"/>
        <item x="960"/>
        <item x="217"/>
        <item x="200"/>
        <item x="644"/>
        <item x="780"/>
        <item x="294"/>
        <item x="265"/>
        <item x="210"/>
        <item x="969"/>
        <item x="809"/>
        <item x="106"/>
        <item x="34"/>
        <item x="606"/>
        <item x="97"/>
        <item x="267"/>
        <item x="466"/>
        <item x="409"/>
        <item x="468"/>
        <item x="112"/>
        <item x="32"/>
        <item x="586"/>
        <item x="362"/>
        <item x="261"/>
        <item x="602"/>
        <item x="86"/>
        <item x="677"/>
        <item x="153"/>
        <item x="342"/>
        <item x="28"/>
        <item x="117"/>
        <item x="685"/>
        <item x="914"/>
        <item x="924"/>
        <item x="887"/>
        <item x="434"/>
        <item x="374"/>
        <item x="222"/>
        <item x="305"/>
        <item x="343"/>
        <item x="774"/>
        <item x="897"/>
        <item x="308"/>
        <item x="14"/>
        <item x="11"/>
        <item x="837"/>
        <item x="971"/>
        <item x="589"/>
        <item x="646"/>
        <item x="994"/>
        <item x="612"/>
        <item x="534"/>
        <item x="598"/>
        <item x="653"/>
        <item x="102"/>
        <item x="823"/>
        <item x="386"/>
        <item x="385"/>
        <item x="627"/>
        <item x="639"/>
        <item x="744"/>
        <item x="881"/>
        <item x="80"/>
        <item x="54"/>
        <item x="346"/>
        <item x="198"/>
        <item x="283"/>
        <item x="16"/>
        <item x="813"/>
        <item x="936"/>
        <item x="48"/>
        <item x="126"/>
        <item x="559"/>
        <item x="591"/>
        <item x="192"/>
        <item x="331"/>
        <item x="670"/>
        <item x="114"/>
        <item x="445"/>
        <item x="701"/>
        <item x="905"/>
        <item x="863"/>
        <item x="996"/>
        <item x="19"/>
        <item x="803"/>
        <item x="978"/>
        <item x="544"/>
        <item x="781"/>
        <item x="79"/>
        <item x="360"/>
        <item x="379"/>
        <item x="260"/>
        <item x="345"/>
        <item x="723"/>
        <item x="739"/>
        <item x="147"/>
        <item x="3"/>
        <item x="55"/>
        <item x="855"/>
        <item x="540"/>
        <item x="650"/>
        <item x="272"/>
        <item x="862"/>
        <item x="142"/>
        <item x="620"/>
        <item x="99"/>
        <item x="826"/>
        <item x="576"/>
        <item x="962"/>
        <item x="145"/>
        <item x="538"/>
        <item x="327"/>
        <item x="9"/>
        <item x="949"/>
        <item x="348"/>
        <item x="911"/>
        <item x="258"/>
        <item x="889"/>
        <item x="725"/>
        <item x="720"/>
        <item x="442"/>
        <item x="664"/>
        <item x="105"/>
        <item x="470"/>
        <item x="982"/>
        <item x="663"/>
        <item x="503"/>
        <item x="730"/>
        <item x="979"/>
        <item x="392"/>
        <item x="904"/>
        <item x="21"/>
        <item x="273"/>
        <item x="890"/>
        <item x="189"/>
        <item x="278"/>
        <item x="741"/>
        <item x="947"/>
        <item x="259"/>
        <item x="435"/>
        <item x="6"/>
        <item x="816"/>
        <item x="411"/>
        <item x="4"/>
        <item x="584"/>
        <item x="197"/>
        <item x="557"/>
        <item x="898"/>
        <item x="458"/>
        <item x="686"/>
        <item x="225"/>
        <item x="335"/>
        <item x="951"/>
        <item x="564"/>
        <item x="73"/>
        <item x="566"/>
        <item x="792"/>
        <item x="143"/>
        <item x="626"/>
        <item x="761"/>
        <item x="275"/>
        <item x="615"/>
        <item x="163"/>
        <item x="372"/>
        <item x="95"/>
        <item x="619"/>
        <item x="237"/>
        <item x="238"/>
        <item x="499"/>
        <item x="943"/>
        <item x="464"/>
        <item x="980"/>
        <item x="25"/>
        <item x="498"/>
        <item x="376"/>
        <item x="659"/>
        <item x="481"/>
        <item x="578"/>
        <item x="531"/>
        <item x="30"/>
        <item x="127"/>
        <item x="594"/>
        <item x="169"/>
        <item x="956"/>
        <item x="430"/>
        <item x="388"/>
        <item x="755"/>
        <item x="115"/>
        <item x="218"/>
        <item x="465"/>
        <item x="353"/>
        <item x="288"/>
        <item x="368"/>
        <item x="380"/>
        <item x="751"/>
        <item x="314"/>
        <item x="532"/>
        <item x="973"/>
        <item x="397"/>
        <item x="501"/>
        <item x="243"/>
        <item x="952"/>
        <item x="700"/>
        <item x="838"/>
        <item x="968"/>
        <item x="219"/>
        <item x="247"/>
        <item x="214"/>
        <item x="702"/>
        <item x="325"/>
        <item x="966"/>
        <item x="212"/>
        <item x="765"/>
        <item x="268"/>
        <item x="829"/>
        <item x="38"/>
        <item x="961"/>
        <item x="722"/>
        <item x="894"/>
        <item x="87"/>
        <item x="692"/>
        <item x="771"/>
        <item x="727"/>
        <item x="624"/>
        <item x="246"/>
        <item x="986"/>
        <item x="953"/>
        <item x="178"/>
        <item x="841"/>
        <item x="789"/>
        <item x="550"/>
        <item x="94"/>
        <item x="807"/>
        <item x="291"/>
        <item x="59"/>
        <item x="221"/>
        <item x="299"/>
        <item x="453"/>
        <item x="64"/>
        <item x="796"/>
        <item x="51"/>
        <item x="509"/>
        <item x="456"/>
        <item x="194"/>
        <item x="369"/>
        <item x="500"/>
        <item x="144"/>
        <item x="46"/>
        <item x="431"/>
        <item x="556"/>
        <item x="535"/>
        <item x="47"/>
        <item x="963"/>
        <item x="487"/>
        <item x="671"/>
        <item x="715"/>
        <item x="160"/>
        <item x="568"/>
        <item x="632"/>
        <item x="662"/>
        <item x="349"/>
        <item x="98"/>
        <item x="321"/>
        <item x="495"/>
        <item x="552"/>
        <item x="301"/>
        <item x="705"/>
        <item x="483"/>
        <item x="164"/>
        <item x="714"/>
        <item x="457"/>
        <item x="161"/>
        <item x="833"/>
        <item x="990"/>
        <item x="363"/>
        <item x="954"/>
        <item x="972"/>
        <item x="867"/>
        <item x="661"/>
        <item x="240"/>
        <item x="174"/>
        <item x="717"/>
        <item x="323"/>
        <item x="582"/>
        <item x="209"/>
        <item x="62"/>
        <item x="427"/>
        <item x="561"/>
        <item x="371"/>
        <item x="416"/>
        <item x="699"/>
        <item x="404"/>
        <item x="337"/>
        <item x="991"/>
        <item x="597"/>
        <item x="492"/>
        <item x="605"/>
        <item x="69"/>
        <item x="182"/>
        <item x="820"/>
        <item x="987"/>
        <item x="410"/>
        <item x="753"/>
        <item x="628"/>
        <item x="395"/>
        <item x="806"/>
        <item x="514"/>
        <item x="931"/>
        <item x="893"/>
        <item x="185"/>
        <item x="309"/>
        <item x="808"/>
        <item x="743"/>
        <item x="5"/>
        <item x="688"/>
        <item x="358"/>
        <item x="675"/>
        <item x="773"/>
        <item x="810"/>
        <item x="783"/>
        <item x="365"/>
        <item x="226"/>
        <item x="703"/>
        <item x="645"/>
        <item x="998"/>
        <item x="485"/>
        <item x="228"/>
        <item x="758"/>
        <item x="581"/>
        <item x="912"/>
        <item x="521"/>
        <item x="450"/>
        <item x="317"/>
        <item x="310"/>
        <item x="687"/>
        <item x="233"/>
        <item x="738"/>
        <item x="674"/>
        <item x="831"/>
        <item x="186"/>
        <item x="341"/>
        <item x="555"/>
        <item x="22"/>
        <item x="859"/>
        <item x="151"/>
        <item x="848"/>
        <item x="822"/>
        <item x="970"/>
        <item x="103"/>
        <item x="382"/>
        <item x="832"/>
        <item x="672"/>
        <item x="26"/>
        <item x="638"/>
        <item x="420"/>
        <item x="438"/>
        <item x="463"/>
        <item x="284"/>
        <item x="462"/>
        <item x="472"/>
        <item x="56"/>
        <item x="315"/>
        <item x="134"/>
        <item x="496"/>
        <item x="844"/>
        <item x="264"/>
        <item x="155"/>
        <item x="856"/>
        <item x="158"/>
        <item x="302"/>
        <item x="152"/>
        <item x="352"/>
        <item x="575"/>
        <item x="530"/>
        <item x="545"/>
        <item x="579"/>
        <item x="955"/>
        <item x="812"/>
        <item x="338"/>
        <item x="805"/>
        <item x="230"/>
        <item x="572"/>
        <item x="322"/>
        <item x="231"/>
        <item x="330"/>
        <item x="493"/>
        <item x="580"/>
        <item x="849"/>
        <item x="271"/>
        <item x="694"/>
        <item x="446"/>
        <item x="157"/>
        <item x="846"/>
        <item x="613"/>
        <item x="737"/>
        <item x="880"/>
        <item x="707"/>
        <item x="166"/>
        <item x="754"/>
        <item x="72"/>
        <item x="398"/>
        <item x="440"/>
        <item x="634"/>
        <item x="508"/>
        <item x="965"/>
        <item x="682"/>
        <item x="618"/>
        <item x="732"/>
        <item x="629"/>
        <item x="110"/>
        <item x="439"/>
        <item x="482"/>
        <item x="89"/>
        <item x="658"/>
        <item x="511"/>
        <item x="414"/>
        <item x="23"/>
        <item x="864"/>
        <item x="786"/>
        <item x="203"/>
        <item x="426"/>
        <item x="595"/>
        <item x="448"/>
        <item x="316"/>
        <item x="942"/>
        <item x="708"/>
        <item x="156"/>
        <item x="75"/>
        <item x="396"/>
        <item x="0"/>
        <item x="748"/>
        <item x="542"/>
        <item x="113"/>
        <item x="234"/>
        <item x="647"/>
        <item x="459"/>
        <item x="981"/>
        <item x="45"/>
        <item x="756"/>
        <item x="858"/>
        <item x="154"/>
        <item x="292"/>
        <item x="364"/>
        <item x="206"/>
        <item x="377"/>
        <item x="933"/>
        <item x="811"/>
        <item x="983"/>
        <item x="516"/>
        <item x="999"/>
        <item x="683"/>
        <item x="184"/>
        <item x="502"/>
        <item x="565"/>
        <item x="455"/>
        <item x="191"/>
        <item x="871"/>
        <item x="282"/>
        <item x="249"/>
        <item x="787"/>
        <item x="950"/>
        <item x="919"/>
        <item x="311"/>
        <item x="611"/>
        <item x="77"/>
        <item x="870"/>
        <item x="399"/>
        <item x="250"/>
        <item x="373"/>
        <item x="874"/>
        <item x="421"/>
        <item x="179"/>
        <item x="908"/>
        <item x="617"/>
        <item x="336"/>
        <item x="625"/>
        <item x="527"/>
        <item x="270"/>
        <item x="17"/>
        <item x="251"/>
        <item x="642"/>
        <item x="600"/>
        <item x="104"/>
        <item x="307"/>
        <item x="199"/>
        <item x="344"/>
        <item x="406"/>
        <item x="854"/>
        <item x="853"/>
        <item x="879"/>
        <item x="793"/>
        <item x="412"/>
        <item x="802"/>
        <item x="24"/>
        <item x="401"/>
        <item x="603"/>
        <item x="735"/>
        <item x="484"/>
        <item x="852"/>
        <item x="394"/>
        <item x="433"/>
        <item x="296"/>
        <item x="436"/>
        <item x="173"/>
        <item x="922"/>
        <item x="441"/>
        <item x="303"/>
        <item x="67"/>
        <item x="563"/>
        <item x="906"/>
        <item x="403"/>
        <item x="916"/>
        <item x="42"/>
        <item x="452"/>
        <item x="895"/>
        <item x="599"/>
        <item x="84"/>
        <item x="868"/>
        <item x="213"/>
        <item x="710"/>
        <item x="74"/>
        <item x="287"/>
        <item x="818"/>
        <item x="785"/>
        <item x="631"/>
        <item x="85"/>
        <item x="587"/>
        <item x="167"/>
        <item x="750"/>
        <item x="696"/>
        <item x="78"/>
        <item x="245"/>
        <item x="608"/>
        <item x="767"/>
        <item x="798"/>
        <item x="948"/>
        <item x="721"/>
        <item x="119"/>
        <item x="204"/>
        <item x="289"/>
        <item x="366"/>
        <item x="795"/>
        <item x="130"/>
        <item x="733"/>
        <item x="760"/>
        <item x="408"/>
        <item x="319"/>
        <item x="766"/>
        <item x="636"/>
        <item x="159"/>
        <item x="740"/>
        <item x="655"/>
        <item x="40"/>
        <item x="967"/>
        <item x="946"/>
        <item x="274"/>
        <item x="554"/>
        <item x="930"/>
        <item x="175"/>
        <item x="329"/>
        <item x="451"/>
        <item x="424"/>
        <item x="839"/>
        <item x="940"/>
        <item x="177"/>
        <item x="423"/>
        <item x="491"/>
        <item x="290"/>
        <item x="964"/>
        <item x="18"/>
        <item x="643"/>
        <item x="648"/>
        <item x="892"/>
        <item x="37"/>
        <item x="665"/>
        <item x="866"/>
        <item x="929"/>
        <item x="471"/>
        <item x="698"/>
        <item x="976"/>
        <item x="53"/>
        <item x="604"/>
        <item x="779"/>
        <item x="333"/>
        <item x="393"/>
        <item x="709"/>
        <item x="447"/>
        <item x="526"/>
        <item x="607"/>
        <item x="367"/>
        <item x="610"/>
        <item x="957"/>
        <item x="718"/>
        <item x="769"/>
        <item x="593"/>
        <item x="43"/>
        <item x="778"/>
        <item x="116"/>
        <item x="762"/>
        <item x="788"/>
        <item x="312"/>
        <item x="123"/>
        <item x="850"/>
        <item x="992"/>
        <item x="857"/>
        <item x="928"/>
        <item x="652"/>
        <item x="777"/>
        <item x="180"/>
        <item x="196"/>
        <item x="15"/>
        <item x="884"/>
        <item x="419"/>
        <item x="165"/>
        <item x="137"/>
        <item x="460"/>
        <item x="8"/>
        <item x="861"/>
        <item x="473"/>
        <item x="763"/>
        <item x="375"/>
        <item x="548"/>
        <item x="689"/>
        <item x="101"/>
        <item x="201"/>
        <item x="118"/>
        <item x="7"/>
        <item x="76"/>
        <item x="558"/>
        <item x="656"/>
        <item x="821"/>
        <item x="601"/>
        <item x="83"/>
        <item x="480"/>
        <item x="135"/>
        <item x="520"/>
        <item x="649"/>
        <item x="70"/>
        <item x="41"/>
        <item x="888"/>
        <item x="825"/>
        <item x="71"/>
        <item x="281"/>
        <item x="506"/>
        <item x="512"/>
        <item x="525"/>
        <item x="660"/>
        <item x="543"/>
        <item x="253"/>
        <item x="546"/>
        <item x="842"/>
        <item x="168"/>
        <item x="519"/>
        <item x="975"/>
        <item x="974"/>
        <item x="280"/>
        <item x="454"/>
        <item x="370"/>
        <item x="170"/>
        <item x="125"/>
        <item x="621"/>
        <item x="938"/>
        <item x="255"/>
        <item x="745"/>
        <item x="384"/>
        <item x="1"/>
        <item x="941"/>
        <item x="176"/>
        <item x="354"/>
        <item x="840"/>
        <item x="44"/>
        <item x="989"/>
        <item x="244"/>
        <item x="847"/>
        <item x="497"/>
        <item x="61"/>
        <item x="149"/>
        <item x="529"/>
        <item x="551"/>
        <item x="339"/>
        <item x="536"/>
        <item x="63"/>
        <item x="814"/>
        <item x="835"/>
        <item x="479"/>
        <item x="90"/>
        <item x="187"/>
        <item x="133"/>
        <item x="263"/>
        <item x="29"/>
        <item x="909"/>
        <item x="985"/>
        <item x="65"/>
        <item x="215"/>
        <item x="731"/>
        <item x="515"/>
        <item x="577"/>
        <item x="885"/>
        <item x="918"/>
        <item x="60"/>
        <item x="443"/>
        <item x="510"/>
        <item x="489"/>
        <item x="505"/>
        <item x="207"/>
        <item x="537"/>
        <item x="12"/>
        <item x="2"/>
        <item x="205"/>
        <item x="383"/>
        <item x="524"/>
        <item x="276"/>
        <item x="425"/>
        <item x="704"/>
        <item x="569"/>
        <item x="93"/>
        <item x="977"/>
        <item x="562"/>
        <item x="486"/>
        <item x="869"/>
        <item x="522"/>
        <item x="678"/>
        <item x="266"/>
        <item x="633"/>
        <item x="356"/>
        <item x="476"/>
        <item x="713"/>
        <item x="836"/>
        <item x="407"/>
        <item x="229"/>
        <item x="131"/>
        <item x="107"/>
        <item x="666"/>
        <item x="10"/>
        <item x="124"/>
        <item x="592"/>
        <item x="35"/>
        <item x="193"/>
        <item x="7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5F86F-72DC-4887-8CA2-26A71AEDF6B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7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FA981-D55C-47D7-8658-D7651861181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90">
        <item x="78"/>
        <item x="77"/>
        <item x="37"/>
        <item x="49"/>
        <item x="52"/>
        <item x="55"/>
        <item x="73"/>
        <item x="17"/>
        <item x="36"/>
        <item x="15"/>
        <item x="22"/>
        <item x="19"/>
        <item x="75"/>
        <item x="42"/>
        <item x="46"/>
        <item x="41"/>
        <item x="27"/>
        <item x="0"/>
        <item x="8"/>
        <item x="82"/>
        <item x="2"/>
        <item x="38"/>
        <item x="32"/>
        <item x="18"/>
        <item x="16"/>
        <item x="30"/>
        <item x="83"/>
        <item x="69"/>
        <item x="88"/>
        <item x="57"/>
        <item x="35"/>
        <item x="40"/>
        <item x="39"/>
        <item x="20"/>
        <item x="48"/>
        <item x="31"/>
        <item x="47"/>
        <item x="60"/>
        <item x="24"/>
        <item x="12"/>
        <item x="56"/>
        <item x="59"/>
        <item x="51"/>
        <item x="54"/>
        <item x="66"/>
        <item x="28"/>
        <item x="53"/>
        <item x="67"/>
        <item x="79"/>
        <item x="33"/>
        <item x="87"/>
        <item x="7"/>
        <item x="29"/>
        <item x="74"/>
        <item x="84"/>
        <item x="11"/>
        <item x="64"/>
        <item x="68"/>
        <item x="45"/>
        <item x="6"/>
        <item x="50"/>
        <item x="76"/>
        <item x="44"/>
        <item x="85"/>
        <item x="1"/>
        <item x="9"/>
        <item x="72"/>
        <item x="70"/>
        <item x="71"/>
        <item x="63"/>
        <item x="25"/>
        <item x="26"/>
        <item x="86"/>
        <item x="4"/>
        <item x="21"/>
        <item x="14"/>
        <item x="10"/>
        <item x="3"/>
        <item x="43"/>
        <item x="34"/>
        <item x="58"/>
        <item x="5"/>
        <item x="80"/>
        <item x="62"/>
        <item x="13"/>
        <item x="23"/>
        <item x="61"/>
        <item x="65"/>
        <item x="8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90">
        <item x="78"/>
        <item x="77"/>
        <item x="37"/>
        <item x="49"/>
        <item x="52"/>
        <item x="55"/>
        <item x="73"/>
        <item x="17"/>
        <item x="36"/>
        <item x="15"/>
        <item x="22"/>
        <item x="19"/>
        <item x="75"/>
        <item x="42"/>
        <item x="46"/>
        <item x="41"/>
        <item x="27"/>
        <item x="0"/>
        <item x="8"/>
        <item x="82"/>
        <item x="2"/>
        <item x="38"/>
        <item x="32"/>
        <item x="18"/>
        <item x="16"/>
        <item x="30"/>
        <item x="83"/>
        <item x="69"/>
        <item x="88"/>
        <item x="57"/>
        <item x="35"/>
        <item x="40"/>
        <item x="39"/>
        <item x="20"/>
        <item x="48"/>
        <item x="31"/>
        <item x="47"/>
        <item x="60"/>
        <item x="24"/>
        <item x="12"/>
        <item x="56"/>
        <item x="59"/>
        <item x="51"/>
        <item x="54"/>
        <item x="66"/>
        <item x="28"/>
        <item x="53"/>
        <item x="67"/>
        <item x="79"/>
        <item x="33"/>
        <item x="87"/>
        <item x="7"/>
        <item x="29"/>
        <item x="74"/>
        <item x="84"/>
        <item x="11"/>
        <item x="64"/>
        <item x="68"/>
        <item x="45"/>
        <item x="6"/>
        <item x="50"/>
        <item x="76"/>
        <item x="44"/>
        <item x="85"/>
        <item x="1"/>
        <item x="9"/>
        <item x="72"/>
        <item x="70"/>
        <item x="71"/>
        <item x="63"/>
        <item x="25"/>
        <item x="26"/>
        <item x="86"/>
        <item x="4"/>
        <item x="21"/>
        <item x="14"/>
        <item x="10"/>
        <item x="3"/>
        <item x="43"/>
        <item x="34"/>
        <item x="58"/>
        <item x="5"/>
        <item x="80"/>
        <item x="62"/>
        <item x="13"/>
        <item x="23"/>
        <item x="61"/>
        <item x="65"/>
        <item x="81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9"/>
    <field x="18"/>
  </rowFields>
  <rowItems count="5"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pane ySplit="1" topLeftCell="A2" activePane="bottomLeft" state="frozen"/>
      <selection pane="bottomLeft" activeCell="R2" sqref="R2:R1001"/>
    </sheetView>
  </sheetViews>
  <sheetFormatPr defaultRowHeight="14.5" x14ac:dyDescent="0.35"/>
  <cols>
    <col min="1" max="3" width="12" customWidth="1"/>
    <col min="4" max="4" width="15" customWidth="1"/>
    <col min="5" max="5" width="12" customWidth="1"/>
    <col min="6" max="6" width="24" customWidth="1"/>
    <col min="7" max="12" width="12" customWidth="1"/>
    <col min="13" max="13" width="13" customWidth="1"/>
    <col min="14" max="14" width="12" customWidth="1"/>
    <col min="15" max="15" width="25" customWidth="1"/>
    <col min="16" max="16" width="14" customWidth="1"/>
    <col min="17" max="17" width="12" customWidth="1"/>
    <col min="18" max="18" width="14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1285</v>
      </c>
    </row>
    <row r="2" spans="1:18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34.75</v>
      </c>
      <c r="H2">
        <v>4</v>
      </c>
      <c r="I2">
        <v>6.95</v>
      </c>
      <c r="J2">
        <v>145.94999999999999</v>
      </c>
      <c r="K2" t="s">
        <v>23</v>
      </c>
      <c r="L2" t="s">
        <v>24</v>
      </c>
      <c r="M2" t="s">
        <v>25</v>
      </c>
      <c r="N2">
        <v>139</v>
      </c>
      <c r="O2">
        <v>4.7618999999999998</v>
      </c>
      <c r="P2">
        <v>6.95</v>
      </c>
      <c r="Q2">
        <v>9.4</v>
      </c>
      <c r="R2" s="8">
        <f>DATEVALUE(K2)</f>
        <v>43483</v>
      </c>
    </row>
    <row r="3" spans="1:18" x14ac:dyDescent="0.35">
      <c r="A3" t="s">
        <v>26</v>
      </c>
      <c r="B3" t="s">
        <v>18</v>
      </c>
      <c r="C3" t="s">
        <v>19</v>
      </c>
      <c r="D3" t="s">
        <v>27</v>
      </c>
      <c r="E3" t="s">
        <v>21</v>
      </c>
      <c r="F3" t="s">
        <v>28</v>
      </c>
      <c r="G3">
        <v>18.43</v>
      </c>
      <c r="H3">
        <v>4</v>
      </c>
      <c r="I3">
        <v>3.69</v>
      </c>
      <c r="J3">
        <v>77.41</v>
      </c>
      <c r="K3" t="s">
        <v>29</v>
      </c>
      <c r="L3" t="s">
        <v>30</v>
      </c>
      <c r="M3" t="s">
        <v>25</v>
      </c>
      <c r="N3">
        <v>73.72</v>
      </c>
      <c r="O3">
        <v>4.7618999999999998</v>
      </c>
      <c r="P3">
        <v>3.69</v>
      </c>
      <c r="Q3">
        <v>5.2</v>
      </c>
      <c r="R3" s="8">
        <f t="shared" ref="R3:R66" si="0">DATEVALUE(K3)</f>
        <v>43530</v>
      </c>
    </row>
    <row r="4" spans="1:18" x14ac:dyDescent="0.35">
      <c r="A4" t="s">
        <v>31</v>
      </c>
      <c r="B4" t="s">
        <v>18</v>
      </c>
      <c r="C4" t="s">
        <v>19</v>
      </c>
      <c r="D4" t="s">
        <v>27</v>
      </c>
      <c r="E4" t="s">
        <v>21</v>
      </c>
      <c r="F4" t="s">
        <v>32</v>
      </c>
      <c r="G4">
        <v>63.03</v>
      </c>
      <c r="H4">
        <v>1</v>
      </c>
      <c r="I4">
        <v>3.15</v>
      </c>
      <c r="J4">
        <v>66.180000000000007</v>
      </c>
      <c r="K4" t="s">
        <v>33</v>
      </c>
      <c r="L4" t="s">
        <v>34</v>
      </c>
      <c r="M4" t="s">
        <v>35</v>
      </c>
      <c r="N4">
        <v>63.03</v>
      </c>
      <c r="O4">
        <v>4.7618999999999998</v>
      </c>
      <c r="P4">
        <v>3.15</v>
      </c>
      <c r="Q4">
        <v>4.9000000000000004</v>
      </c>
      <c r="R4" s="8">
        <f t="shared" si="0"/>
        <v>43486</v>
      </c>
    </row>
    <row r="5" spans="1:18" x14ac:dyDescent="0.35">
      <c r="A5" t="s">
        <v>36</v>
      </c>
      <c r="B5" t="s">
        <v>37</v>
      </c>
      <c r="C5" t="s">
        <v>38</v>
      </c>
      <c r="D5" t="s">
        <v>20</v>
      </c>
      <c r="E5" t="s">
        <v>21</v>
      </c>
      <c r="F5" t="s">
        <v>32</v>
      </c>
      <c r="G5">
        <v>18.7</v>
      </c>
      <c r="H5">
        <v>6</v>
      </c>
      <c r="I5">
        <v>5.61</v>
      </c>
      <c r="J5">
        <v>117.81</v>
      </c>
      <c r="K5" t="s">
        <v>39</v>
      </c>
      <c r="L5" t="s">
        <v>40</v>
      </c>
      <c r="M5" t="s">
        <v>25</v>
      </c>
      <c r="N5">
        <v>112.2</v>
      </c>
      <c r="O5">
        <v>4.7618999999999998</v>
      </c>
      <c r="P5">
        <v>5.61</v>
      </c>
      <c r="Q5">
        <v>6.8</v>
      </c>
      <c r="R5" s="8">
        <f t="shared" si="0"/>
        <v>43543</v>
      </c>
    </row>
    <row r="6" spans="1:18" x14ac:dyDescent="0.35">
      <c r="A6" t="s">
        <v>41</v>
      </c>
      <c r="B6" t="s">
        <v>37</v>
      </c>
      <c r="C6" t="s">
        <v>38</v>
      </c>
      <c r="D6" t="s">
        <v>20</v>
      </c>
      <c r="E6" t="s">
        <v>42</v>
      </c>
      <c r="F6" t="s">
        <v>22</v>
      </c>
      <c r="G6">
        <v>65.67</v>
      </c>
      <c r="H6">
        <v>6</v>
      </c>
      <c r="I6">
        <v>19.7</v>
      </c>
      <c r="J6">
        <v>413.72</v>
      </c>
      <c r="K6" t="s">
        <v>43</v>
      </c>
      <c r="L6" t="s">
        <v>44</v>
      </c>
      <c r="M6" t="s">
        <v>45</v>
      </c>
      <c r="N6">
        <v>394.02</v>
      </c>
      <c r="O6">
        <v>4.7618999999999998</v>
      </c>
      <c r="P6">
        <v>19.7</v>
      </c>
      <c r="Q6">
        <v>4.3</v>
      </c>
      <c r="R6" s="8">
        <f t="shared" si="0"/>
        <v>43539</v>
      </c>
    </row>
    <row r="7" spans="1:18" x14ac:dyDescent="0.35">
      <c r="A7" t="s">
        <v>46</v>
      </c>
      <c r="B7" t="s">
        <v>37</v>
      </c>
      <c r="C7" t="s">
        <v>38</v>
      </c>
      <c r="D7" t="s">
        <v>20</v>
      </c>
      <c r="E7" t="s">
        <v>21</v>
      </c>
      <c r="F7" t="s">
        <v>28</v>
      </c>
      <c r="G7">
        <v>44.21</v>
      </c>
      <c r="H7">
        <v>8</v>
      </c>
      <c r="I7">
        <v>17.68</v>
      </c>
      <c r="J7">
        <v>371.36</v>
      </c>
      <c r="K7" t="s">
        <v>47</v>
      </c>
      <c r="L7" t="s">
        <v>48</v>
      </c>
      <c r="M7" t="s">
        <v>35</v>
      </c>
      <c r="N7">
        <v>353.68</v>
      </c>
      <c r="O7">
        <v>4.7618999999999998</v>
      </c>
      <c r="P7">
        <v>17.68</v>
      </c>
      <c r="Q7">
        <v>6.1</v>
      </c>
      <c r="R7" s="8">
        <f t="shared" si="0"/>
        <v>43547</v>
      </c>
    </row>
    <row r="8" spans="1:18" x14ac:dyDescent="0.35">
      <c r="A8" t="s">
        <v>49</v>
      </c>
      <c r="B8" t="s">
        <v>37</v>
      </c>
      <c r="C8" t="s">
        <v>38</v>
      </c>
      <c r="D8" t="s">
        <v>20</v>
      </c>
      <c r="E8" t="s">
        <v>21</v>
      </c>
      <c r="F8" t="s">
        <v>50</v>
      </c>
      <c r="G8">
        <v>75.62</v>
      </c>
      <c r="H8">
        <v>3</v>
      </c>
      <c r="I8">
        <v>11.34</v>
      </c>
      <c r="J8">
        <v>238.2</v>
      </c>
      <c r="K8" t="s">
        <v>51</v>
      </c>
      <c r="L8" t="s">
        <v>52</v>
      </c>
      <c r="M8" t="s">
        <v>25</v>
      </c>
      <c r="N8">
        <v>226.86</v>
      </c>
      <c r="O8">
        <v>4.7618999999999998</v>
      </c>
      <c r="P8">
        <v>11.34</v>
      </c>
      <c r="Q8">
        <v>8.1</v>
      </c>
      <c r="R8" s="8">
        <f t="shared" si="0"/>
        <v>43525</v>
      </c>
    </row>
    <row r="9" spans="1:18" x14ac:dyDescent="0.35">
      <c r="A9" t="s">
        <v>53</v>
      </c>
      <c r="B9" t="s">
        <v>18</v>
      </c>
      <c r="C9" t="s">
        <v>19</v>
      </c>
      <c r="D9" t="s">
        <v>27</v>
      </c>
      <c r="E9" t="s">
        <v>21</v>
      </c>
      <c r="F9" t="s">
        <v>54</v>
      </c>
      <c r="G9">
        <v>83.96</v>
      </c>
      <c r="H9">
        <v>6</v>
      </c>
      <c r="I9">
        <v>25.19</v>
      </c>
      <c r="J9">
        <v>528.95000000000005</v>
      </c>
      <c r="K9" t="s">
        <v>55</v>
      </c>
      <c r="L9" t="s">
        <v>56</v>
      </c>
      <c r="M9" t="s">
        <v>45</v>
      </c>
      <c r="N9">
        <v>503.76</v>
      </c>
      <c r="O9">
        <v>4.7618999999999998</v>
      </c>
      <c r="P9">
        <v>25.19</v>
      </c>
      <c r="Q9">
        <v>9.5</v>
      </c>
      <c r="R9" s="8">
        <f t="shared" si="0"/>
        <v>43517</v>
      </c>
    </row>
    <row r="10" spans="1:18" x14ac:dyDescent="0.35">
      <c r="A10" t="s">
        <v>57</v>
      </c>
      <c r="B10" t="s">
        <v>18</v>
      </c>
      <c r="C10" t="s">
        <v>19</v>
      </c>
      <c r="D10" t="s">
        <v>27</v>
      </c>
      <c r="E10" t="s">
        <v>21</v>
      </c>
      <c r="F10" t="s">
        <v>22</v>
      </c>
      <c r="G10">
        <v>54.93</v>
      </c>
      <c r="H10">
        <v>8</v>
      </c>
      <c r="I10">
        <v>21.97</v>
      </c>
      <c r="J10">
        <v>461.41</v>
      </c>
      <c r="K10" t="s">
        <v>58</v>
      </c>
      <c r="L10" t="s">
        <v>59</v>
      </c>
      <c r="M10" t="s">
        <v>45</v>
      </c>
      <c r="N10">
        <v>439.44</v>
      </c>
      <c r="O10">
        <v>4.7618999999999998</v>
      </c>
      <c r="P10">
        <v>21.97</v>
      </c>
      <c r="Q10">
        <v>8.5</v>
      </c>
      <c r="R10" s="8">
        <f t="shared" si="0"/>
        <v>43484</v>
      </c>
    </row>
    <row r="11" spans="1:18" x14ac:dyDescent="0.35">
      <c r="A11" t="s">
        <v>60</v>
      </c>
      <c r="B11" t="s">
        <v>37</v>
      </c>
      <c r="C11" t="s">
        <v>38</v>
      </c>
      <c r="D11" t="s">
        <v>27</v>
      </c>
      <c r="E11" t="s">
        <v>42</v>
      </c>
      <c r="F11" t="s">
        <v>61</v>
      </c>
      <c r="G11">
        <v>29.74</v>
      </c>
      <c r="H11">
        <v>3</v>
      </c>
      <c r="I11">
        <v>4.46</v>
      </c>
      <c r="J11">
        <v>93.68</v>
      </c>
      <c r="K11" t="s">
        <v>62</v>
      </c>
      <c r="L11" t="s">
        <v>63</v>
      </c>
      <c r="M11" t="s">
        <v>45</v>
      </c>
      <c r="N11">
        <v>89.22</v>
      </c>
      <c r="O11">
        <v>4.7618999999999998</v>
      </c>
      <c r="P11">
        <v>4.46</v>
      </c>
      <c r="Q11">
        <v>9.1999999999999993</v>
      </c>
      <c r="R11" s="8">
        <f t="shared" si="0"/>
        <v>43531</v>
      </c>
    </row>
    <row r="12" spans="1:18" x14ac:dyDescent="0.35">
      <c r="A12" t="s">
        <v>64</v>
      </c>
      <c r="B12" t="s">
        <v>18</v>
      </c>
      <c r="C12" t="s">
        <v>19</v>
      </c>
      <c r="D12" t="s">
        <v>20</v>
      </c>
      <c r="E12" t="s">
        <v>42</v>
      </c>
      <c r="F12" t="s">
        <v>50</v>
      </c>
      <c r="G12">
        <v>15.72</v>
      </c>
      <c r="H12">
        <v>7</v>
      </c>
      <c r="I12">
        <v>5.5</v>
      </c>
      <c r="J12">
        <v>115.54</v>
      </c>
      <c r="K12" t="s">
        <v>65</v>
      </c>
      <c r="L12" t="s">
        <v>66</v>
      </c>
      <c r="M12" t="s">
        <v>35</v>
      </c>
      <c r="N12">
        <v>110.04</v>
      </c>
      <c r="O12">
        <v>4.7618999999999998</v>
      </c>
      <c r="P12">
        <v>5.5</v>
      </c>
      <c r="Q12">
        <v>9.8000000000000007</v>
      </c>
      <c r="R12" s="8">
        <f t="shared" si="0"/>
        <v>43542</v>
      </c>
    </row>
    <row r="13" spans="1:18" x14ac:dyDescent="0.35">
      <c r="A13" t="s">
        <v>67</v>
      </c>
      <c r="B13" t="s">
        <v>68</v>
      </c>
      <c r="C13" t="s">
        <v>69</v>
      </c>
      <c r="D13" t="s">
        <v>20</v>
      </c>
      <c r="E13" t="s">
        <v>42</v>
      </c>
      <c r="F13" t="s">
        <v>22</v>
      </c>
      <c r="G13">
        <v>40.619999999999997</v>
      </c>
      <c r="H13">
        <v>5</v>
      </c>
      <c r="I13">
        <v>10.16</v>
      </c>
      <c r="J13">
        <v>213.26</v>
      </c>
      <c r="K13" t="s">
        <v>70</v>
      </c>
      <c r="L13" t="s">
        <v>71</v>
      </c>
      <c r="M13" t="s">
        <v>45</v>
      </c>
      <c r="N13">
        <v>203.1</v>
      </c>
      <c r="O13">
        <v>4.7618999999999998</v>
      </c>
      <c r="P13">
        <v>10.16</v>
      </c>
      <c r="Q13">
        <v>9.6999999999999993</v>
      </c>
      <c r="R13" s="8">
        <f t="shared" si="0"/>
        <v>43521</v>
      </c>
    </row>
    <row r="14" spans="1:18" x14ac:dyDescent="0.35">
      <c r="A14" t="s">
        <v>72</v>
      </c>
      <c r="B14" t="s">
        <v>18</v>
      </c>
      <c r="C14" t="s">
        <v>19</v>
      </c>
      <c r="D14" t="s">
        <v>27</v>
      </c>
      <c r="E14" t="s">
        <v>21</v>
      </c>
      <c r="F14" t="s">
        <v>50</v>
      </c>
      <c r="G14">
        <v>92.14</v>
      </c>
      <c r="H14">
        <v>5</v>
      </c>
      <c r="I14">
        <v>23.04</v>
      </c>
      <c r="J14">
        <v>483.74</v>
      </c>
      <c r="K14" t="s">
        <v>47</v>
      </c>
      <c r="L14" t="s">
        <v>73</v>
      </c>
      <c r="M14" t="s">
        <v>45</v>
      </c>
      <c r="N14">
        <v>460.7</v>
      </c>
      <c r="O14">
        <v>4.7618999999999998</v>
      </c>
      <c r="P14">
        <v>23.04</v>
      </c>
      <c r="Q14">
        <v>4.9000000000000004</v>
      </c>
      <c r="R14" s="8">
        <f t="shared" si="0"/>
        <v>43547</v>
      </c>
    </row>
    <row r="15" spans="1:18" x14ac:dyDescent="0.35">
      <c r="A15" t="s">
        <v>74</v>
      </c>
      <c r="B15" t="s">
        <v>68</v>
      </c>
      <c r="C15" t="s">
        <v>69</v>
      </c>
      <c r="D15" t="s">
        <v>20</v>
      </c>
      <c r="E15" t="s">
        <v>42</v>
      </c>
      <c r="F15" t="s">
        <v>32</v>
      </c>
      <c r="G15">
        <v>11.75</v>
      </c>
      <c r="H15">
        <v>6</v>
      </c>
      <c r="I15">
        <v>3.53</v>
      </c>
      <c r="J15">
        <v>74.03</v>
      </c>
      <c r="K15" t="s">
        <v>75</v>
      </c>
      <c r="L15" t="s">
        <v>76</v>
      </c>
      <c r="M15" t="s">
        <v>45</v>
      </c>
      <c r="N15">
        <v>70.5</v>
      </c>
      <c r="O15">
        <v>4.7618999999999998</v>
      </c>
      <c r="P15">
        <v>3.53</v>
      </c>
      <c r="Q15">
        <v>9.3000000000000007</v>
      </c>
      <c r="R15" s="8">
        <f t="shared" si="0"/>
        <v>43505</v>
      </c>
    </row>
    <row r="16" spans="1:18" x14ac:dyDescent="0.35">
      <c r="A16" t="s">
        <v>77</v>
      </c>
      <c r="B16" t="s">
        <v>68</v>
      </c>
      <c r="C16" t="s">
        <v>69</v>
      </c>
      <c r="D16" t="s">
        <v>27</v>
      </c>
      <c r="E16" t="s">
        <v>21</v>
      </c>
      <c r="F16" t="s">
        <v>50</v>
      </c>
      <c r="G16">
        <v>78.930000000000007</v>
      </c>
      <c r="H16">
        <v>3</v>
      </c>
      <c r="I16">
        <v>11.84</v>
      </c>
      <c r="J16">
        <v>248.63</v>
      </c>
      <c r="K16" t="s">
        <v>78</v>
      </c>
      <c r="L16" t="s">
        <v>66</v>
      </c>
      <c r="M16" t="s">
        <v>45</v>
      </c>
      <c r="N16">
        <v>236.79</v>
      </c>
      <c r="O16">
        <v>4.7618999999999998</v>
      </c>
      <c r="P16">
        <v>11.84</v>
      </c>
      <c r="Q16">
        <v>5.6</v>
      </c>
      <c r="R16" s="8">
        <f t="shared" si="0"/>
        <v>43550</v>
      </c>
    </row>
    <row r="17" spans="1:18" x14ac:dyDescent="0.35">
      <c r="A17" t="s">
        <v>79</v>
      </c>
      <c r="B17" t="s">
        <v>18</v>
      </c>
      <c r="C17" t="s">
        <v>19</v>
      </c>
      <c r="D17" t="s">
        <v>27</v>
      </c>
      <c r="E17" t="s">
        <v>21</v>
      </c>
      <c r="F17" t="s">
        <v>50</v>
      </c>
      <c r="G17">
        <v>77.97</v>
      </c>
      <c r="H17">
        <v>4</v>
      </c>
      <c r="I17">
        <v>15.59</v>
      </c>
      <c r="J17">
        <v>327.47000000000003</v>
      </c>
      <c r="K17" t="s">
        <v>75</v>
      </c>
      <c r="L17" t="s">
        <v>80</v>
      </c>
      <c r="M17" t="s">
        <v>25</v>
      </c>
      <c r="N17">
        <v>311.88</v>
      </c>
      <c r="O17">
        <v>4.7618999999999998</v>
      </c>
      <c r="P17">
        <v>15.59</v>
      </c>
      <c r="Q17">
        <v>6.2</v>
      </c>
      <c r="R17" s="8">
        <f t="shared" si="0"/>
        <v>43505</v>
      </c>
    </row>
    <row r="18" spans="1:18" x14ac:dyDescent="0.35">
      <c r="A18" t="s">
        <v>81</v>
      </c>
      <c r="B18" t="s">
        <v>37</v>
      </c>
      <c r="C18" t="s">
        <v>38</v>
      </c>
      <c r="D18" t="s">
        <v>20</v>
      </c>
      <c r="E18" t="s">
        <v>21</v>
      </c>
      <c r="F18" t="s">
        <v>54</v>
      </c>
      <c r="G18">
        <v>15.76</v>
      </c>
      <c r="H18">
        <v>1</v>
      </c>
      <c r="I18">
        <v>0.79</v>
      </c>
      <c r="J18">
        <v>16.55</v>
      </c>
      <c r="K18" t="s">
        <v>82</v>
      </c>
      <c r="L18" t="s">
        <v>83</v>
      </c>
      <c r="M18" t="s">
        <v>25</v>
      </c>
      <c r="N18">
        <v>15.76</v>
      </c>
      <c r="O18">
        <v>4.7618999999999998</v>
      </c>
      <c r="P18">
        <v>0.79</v>
      </c>
      <c r="Q18">
        <v>5.3</v>
      </c>
      <c r="R18" s="8">
        <f t="shared" si="0"/>
        <v>43541</v>
      </c>
    </row>
    <row r="19" spans="1:18" x14ac:dyDescent="0.35">
      <c r="A19" t="s">
        <v>84</v>
      </c>
      <c r="B19" t="s">
        <v>18</v>
      </c>
      <c r="C19" t="s">
        <v>19</v>
      </c>
      <c r="D19" t="s">
        <v>20</v>
      </c>
      <c r="E19" t="s">
        <v>21</v>
      </c>
      <c r="F19" t="s">
        <v>28</v>
      </c>
      <c r="G19">
        <v>91.49</v>
      </c>
      <c r="H19">
        <v>6</v>
      </c>
      <c r="I19">
        <v>27.45</v>
      </c>
      <c r="J19">
        <v>576.39</v>
      </c>
      <c r="K19" t="s">
        <v>85</v>
      </c>
      <c r="L19" t="s">
        <v>83</v>
      </c>
      <c r="M19" t="s">
        <v>35</v>
      </c>
      <c r="N19">
        <v>548.94000000000005</v>
      </c>
      <c r="O19">
        <v>4.7618999999999998</v>
      </c>
      <c r="P19">
        <v>27.45</v>
      </c>
      <c r="Q19">
        <v>8</v>
      </c>
      <c r="R19" s="8">
        <f>DATEVALUE(K19)</f>
        <v>43475</v>
      </c>
    </row>
    <row r="20" spans="1:18" x14ac:dyDescent="0.35">
      <c r="A20" t="s">
        <v>86</v>
      </c>
      <c r="B20" t="s">
        <v>18</v>
      </c>
      <c r="C20" t="s">
        <v>19</v>
      </c>
      <c r="D20" t="s">
        <v>20</v>
      </c>
      <c r="E20" t="s">
        <v>42</v>
      </c>
      <c r="F20" t="s">
        <v>54</v>
      </c>
      <c r="G20">
        <v>80.62</v>
      </c>
      <c r="H20">
        <v>7</v>
      </c>
      <c r="I20">
        <v>28.22</v>
      </c>
      <c r="J20">
        <v>592.55999999999995</v>
      </c>
      <c r="K20" t="s">
        <v>87</v>
      </c>
      <c r="L20" t="s">
        <v>88</v>
      </c>
      <c r="M20" t="s">
        <v>25</v>
      </c>
      <c r="N20">
        <v>564.34</v>
      </c>
      <c r="O20">
        <v>4.7618999999999998</v>
      </c>
      <c r="P20">
        <v>28.22</v>
      </c>
      <c r="Q20">
        <v>6.6</v>
      </c>
      <c r="R20" s="8">
        <f t="shared" si="0"/>
        <v>43490</v>
      </c>
    </row>
    <row r="21" spans="1:18" x14ac:dyDescent="0.35">
      <c r="A21" t="s">
        <v>89</v>
      </c>
      <c r="B21" t="s">
        <v>37</v>
      </c>
      <c r="C21" t="s">
        <v>38</v>
      </c>
      <c r="D21" t="s">
        <v>27</v>
      </c>
      <c r="E21" t="s">
        <v>21</v>
      </c>
      <c r="F21" t="s">
        <v>22</v>
      </c>
      <c r="G21">
        <v>68.81</v>
      </c>
      <c r="H21">
        <v>2</v>
      </c>
      <c r="I21">
        <v>6.88</v>
      </c>
      <c r="J21">
        <v>144.5</v>
      </c>
      <c r="K21" t="s">
        <v>90</v>
      </c>
      <c r="L21" t="s">
        <v>91</v>
      </c>
      <c r="M21" t="s">
        <v>35</v>
      </c>
      <c r="N21">
        <v>137.62</v>
      </c>
      <c r="O21">
        <v>4.7618999999999998</v>
      </c>
      <c r="P21">
        <v>6.88</v>
      </c>
      <c r="Q21">
        <v>8.8000000000000007</v>
      </c>
      <c r="R21" s="8">
        <f t="shared" si="0"/>
        <v>43473</v>
      </c>
    </row>
    <row r="22" spans="1:18" x14ac:dyDescent="0.35">
      <c r="A22" t="s">
        <v>92</v>
      </c>
      <c r="B22" t="s">
        <v>68</v>
      </c>
      <c r="C22" t="s">
        <v>69</v>
      </c>
      <c r="D22" t="s">
        <v>20</v>
      </c>
      <c r="E22" t="s">
        <v>21</v>
      </c>
      <c r="F22" t="s">
        <v>50</v>
      </c>
      <c r="G22">
        <v>50.38</v>
      </c>
      <c r="H22">
        <v>7</v>
      </c>
      <c r="I22">
        <v>17.63</v>
      </c>
      <c r="J22">
        <v>370.29</v>
      </c>
      <c r="K22" t="s">
        <v>93</v>
      </c>
      <c r="L22" t="s">
        <v>94</v>
      </c>
      <c r="M22" t="s">
        <v>45</v>
      </c>
      <c r="N22">
        <v>352.66</v>
      </c>
      <c r="O22">
        <v>4.7618999999999998</v>
      </c>
      <c r="P22">
        <v>17.63</v>
      </c>
      <c r="Q22">
        <v>9.1999999999999993</v>
      </c>
      <c r="R22" s="8">
        <f t="shared" si="0"/>
        <v>43489</v>
      </c>
    </row>
    <row r="23" spans="1:18" x14ac:dyDescent="0.35">
      <c r="A23" t="s">
        <v>95</v>
      </c>
      <c r="B23" t="s">
        <v>37</v>
      </c>
      <c r="C23" t="s">
        <v>38</v>
      </c>
      <c r="D23" t="s">
        <v>20</v>
      </c>
      <c r="E23" t="s">
        <v>21</v>
      </c>
      <c r="F23" t="s">
        <v>22</v>
      </c>
      <c r="G23">
        <v>99.94</v>
      </c>
      <c r="H23">
        <v>1</v>
      </c>
      <c r="I23">
        <v>5</v>
      </c>
      <c r="J23">
        <v>104.94</v>
      </c>
      <c r="K23" t="s">
        <v>96</v>
      </c>
      <c r="L23" t="s">
        <v>97</v>
      </c>
      <c r="M23" t="s">
        <v>35</v>
      </c>
      <c r="N23">
        <v>99.94</v>
      </c>
      <c r="O23">
        <v>4.7618999999999998</v>
      </c>
      <c r="P23">
        <v>5</v>
      </c>
      <c r="Q23">
        <v>6.9</v>
      </c>
      <c r="R23" s="8">
        <f t="shared" si="0"/>
        <v>43477</v>
      </c>
    </row>
    <row r="24" spans="1:18" x14ac:dyDescent="0.35">
      <c r="A24" t="s">
        <v>98</v>
      </c>
      <c r="B24" t="s">
        <v>37</v>
      </c>
      <c r="C24" t="s">
        <v>38</v>
      </c>
      <c r="D24" t="s">
        <v>20</v>
      </c>
      <c r="E24" t="s">
        <v>21</v>
      </c>
      <c r="F24" t="s">
        <v>32</v>
      </c>
      <c r="G24">
        <v>10.19</v>
      </c>
      <c r="H24">
        <v>7</v>
      </c>
      <c r="I24">
        <v>3.57</v>
      </c>
      <c r="J24">
        <v>74.900000000000006</v>
      </c>
      <c r="K24" t="s">
        <v>99</v>
      </c>
      <c r="L24" t="s">
        <v>100</v>
      </c>
      <c r="M24" t="s">
        <v>35</v>
      </c>
      <c r="N24">
        <v>71.33</v>
      </c>
      <c r="O24">
        <v>4.7618999999999998</v>
      </c>
      <c r="P24">
        <v>3.57</v>
      </c>
      <c r="Q24">
        <v>8.1999999999999993</v>
      </c>
      <c r="R24" s="8">
        <f t="shared" si="0"/>
        <v>43499</v>
      </c>
    </row>
    <row r="25" spans="1:18" x14ac:dyDescent="0.35">
      <c r="A25" t="s">
        <v>101</v>
      </c>
      <c r="B25" t="s">
        <v>18</v>
      </c>
      <c r="C25" t="s">
        <v>19</v>
      </c>
      <c r="D25" t="s">
        <v>27</v>
      </c>
      <c r="E25" t="s">
        <v>21</v>
      </c>
      <c r="F25" t="s">
        <v>54</v>
      </c>
      <c r="G25">
        <v>36.700000000000003</v>
      </c>
      <c r="H25">
        <v>1</v>
      </c>
      <c r="I25">
        <v>1.84</v>
      </c>
      <c r="J25">
        <v>38.54</v>
      </c>
      <c r="K25" t="s">
        <v>102</v>
      </c>
      <c r="L25" t="s">
        <v>103</v>
      </c>
      <c r="M25" t="s">
        <v>25</v>
      </c>
      <c r="N25">
        <v>36.700000000000003</v>
      </c>
      <c r="O25">
        <v>4.7618999999999998</v>
      </c>
      <c r="P25">
        <v>1.84</v>
      </c>
      <c r="Q25">
        <v>5.9</v>
      </c>
      <c r="R25" s="8">
        <f t="shared" si="0"/>
        <v>43540</v>
      </c>
    </row>
    <row r="26" spans="1:18" x14ac:dyDescent="0.35">
      <c r="A26" t="s">
        <v>104</v>
      </c>
      <c r="B26" t="s">
        <v>18</v>
      </c>
      <c r="C26" t="s">
        <v>19</v>
      </c>
      <c r="D26" t="s">
        <v>27</v>
      </c>
      <c r="E26" t="s">
        <v>21</v>
      </c>
      <c r="F26" t="s">
        <v>28</v>
      </c>
      <c r="G26">
        <v>96.47</v>
      </c>
      <c r="H26">
        <v>2</v>
      </c>
      <c r="I26">
        <v>9.65</v>
      </c>
      <c r="J26">
        <v>202.59</v>
      </c>
      <c r="K26" t="s">
        <v>93</v>
      </c>
      <c r="L26" t="s">
        <v>105</v>
      </c>
      <c r="M26" t="s">
        <v>45</v>
      </c>
      <c r="N26">
        <v>192.94</v>
      </c>
      <c r="O26">
        <v>4.7618999999999998</v>
      </c>
      <c r="P26">
        <v>9.65</v>
      </c>
      <c r="Q26">
        <v>8.1</v>
      </c>
      <c r="R26" s="8">
        <f t="shared" si="0"/>
        <v>43489</v>
      </c>
    </row>
    <row r="27" spans="1:18" x14ac:dyDescent="0.35">
      <c r="A27" t="s">
        <v>106</v>
      </c>
      <c r="B27" t="s">
        <v>37</v>
      </c>
      <c r="C27" t="s">
        <v>38</v>
      </c>
      <c r="D27" t="s">
        <v>20</v>
      </c>
      <c r="E27" t="s">
        <v>21</v>
      </c>
      <c r="F27" t="s">
        <v>50</v>
      </c>
      <c r="G27">
        <v>63.51</v>
      </c>
      <c r="H27">
        <v>10</v>
      </c>
      <c r="I27">
        <v>31.76</v>
      </c>
      <c r="J27">
        <v>666.86</v>
      </c>
      <c r="K27" t="s">
        <v>107</v>
      </c>
      <c r="L27" t="s">
        <v>80</v>
      </c>
      <c r="M27" t="s">
        <v>25</v>
      </c>
      <c r="N27">
        <v>635.1</v>
      </c>
      <c r="O27">
        <v>4.7618999999999998</v>
      </c>
      <c r="P27">
        <v>31.76</v>
      </c>
      <c r="Q27">
        <v>7.4</v>
      </c>
      <c r="R27" s="8">
        <f t="shared" si="0"/>
        <v>43476</v>
      </c>
    </row>
    <row r="28" spans="1:18" x14ac:dyDescent="0.35">
      <c r="A28" t="s">
        <v>108</v>
      </c>
      <c r="B28" t="s">
        <v>37</v>
      </c>
      <c r="C28" t="s">
        <v>38</v>
      </c>
      <c r="D28" t="s">
        <v>20</v>
      </c>
      <c r="E28" t="s">
        <v>42</v>
      </c>
      <c r="F28" t="s">
        <v>54</v>
      </c>
      <c r="G28">
        <v>33.909999999999997</v>
      </c>
      <c r="H28">
        <v>3</v>
      </c>
      <c r="I28">
        <v>5.09</v>
      </c>
      <c r="J28">
        <v>106.82</v>
      </c>
      <c r="K28" t="s">
        <v>109</v>
      </c>
      <c r="L28" t="s">
        <v>110</v>
      </c>
      <c r="M28" t="s">
        <v>35</v>
      </c>
      <c r="N28">
        <v>101.73</v>
      </c>
      <c r="O28">
        <v>4.7618999999999998</v>
      </c>
      <c r="P28">
        <v>5.09</v>
      </c>
      <c r="Q28">
        <v>5.9</v>
      </c>
      <c r="R28" s="8">
        <f t="shared" si="0"/>
        <v>43551</v>
      </c>
    </row>
    <row r="29" spans="1:18" x14ac:dyDescent="0.35">
      <c r="A29" t="s">
        <v>111</v>
      </c>
      <c r="B29" t="s">
        <v>68</v>
      </c>
      <c r="C29" t="s">
        <v>69</v>
      </c>
      <c r="D29" t="s">
        <v>20</v>
      </c>
      <c r="E29" t="s">
        <v>42</v>
      </c>
      <c r="F29" t="s">
        <v>50</v>
      </c>
      <c r="G29">
        <v>99.86</v>
      </c>
      <c r="H29">
        <v>2</v>
      </c>
      <c r="I29">
        <v>9.99</v>
      </c>
      <c r="J29">
        <v>209.71</v>
      </c>
      <c r="K29" t="s">
        <v>85</v>
      </c>
      <c r="L29" t="s">
        <v>83</v>
      </c>
      <c r="M29" t="s">
        <v>25</v>
      </c>
      <c r="N29">
        <v>199.72</v>
      </c>
      <c r="O29">
        <v>4.7618999999999998</v>
      </c>
      <c r="P29">
        <v>9.99</v>
      </c>
      <c r="Q29">
        <v>5.6</v>
      </c>
      <c r="R29" s="8">
        <f t="shared" si="0"/>
        <v>43475</v>
      </c>
    </row>
    <row r="30" spans="1:18" x14ac:dyDescent="0.35">
      <c r="A30" t="s">
        <v>112</v>
      </c>
      <c r="B30" t="s">
        <v>68</v>
      </c>
      <c r="C30" t="s">
        <v>69</v>
      </c>
      <c r="D30" t="s">
        <v>20</v>
      </c>
      <c r="E30" t="s">
        <v>42</v>
      </c>
      <c r="F30" t="s">
        <v>61</v>
      </c>
      <c r="G30">
        <v>24.2</v>
      </c>
      <c r="H30">
        <v>9</v>
      </c>
      <c r="I30">
        <v>10.89</v>
      </c>
      <c r="J30">
        <v>228.69</v>
      </c>
      <c r="K30" t="s">
        <v>113</v>
      </c>
      <c r="L30" t="s">
        <v>114</v>
      </c>
      <c r="M30" t="s">
        <v>25</v>
      </c>
      <c r="N30">
        <v>217.8</v>
      </c>
      <c r="O30">
        <v>4.7618999999999998</v>
      </c>
      <c r="P30">
        <v>10.89</v>
      </c>
      <c r="Q30">
        <v>4</v>
      </c>
      <c r="R30" s="8">
        <f t="shared" si="0"/>
        <v>43504</v>
      </c>
    </row>
    <row r="31" spans="1:18" x14ac:dyDescent="0.35">
      <c r="A31" t="s">
        <v>115</v>
      </c>
      <c r="B31" t="s">
        <v>18</v>
      </c>
      <c r="C31" t="s">
        <v>19</v>
      </c>
      <c r="D31" t="s">
        <v>27</v>
      </c>
      <c r="E31" t="s">
        <v>21</v>
      </c>
      <c r="F31" t="s">
        <v>54</v>
      </c>
      <c r="G31">
        <v>33.799999999999997</v>
      </c>
      <c r="H31">
        <v>2</v>
      </c>
      <c r="I31">
        <v>3.38</v>
      </c>
      <c r="J31">
        <v>70.98</v>
      </c>
      <c r="K31" t="s">
        <v>116</v>
      </c>
      <c r="L31" t="s">
        <v>117</v>
      </c>
      <c r="M31" t="s">
        <v>35</v>
      </c>
      <c r="N31">
        <v>67.599999999999994</v>
      </c>
      <c r="O31">
        <v>4.7618999999999998</v>
      </c>
      <c r="P31">
        <v>3.38</v>
      </c>
      <c r="Q31">
        <v>7.6</v>
      </c>
      <c r="R31" s="8">
        <f t="shared" si="0"/>
        <v>43536</v>
      </c>
    </row>
    <row r="32" spans="1:18" x14ac:dyDescent="0.35">
      <c r="A32" t="s">
        <v>118</v>
      </c>
      <c r="B32" t="s">
        <v>37</v>
      </c>
      <c r="C32" t="s">
        <v>38</v>
      </c>
      <c r="D32" t="s">
        <v>20</v>
      </c>
      <c r="E32" t="s">
        <v>42</v>
      </c>
      <c r="F32" t="s">
        <v>50</v>
      </c>
      <c r="G32">
        <v>53.97</v>
      </c>
      <c r="H32">
        <v>1</v>
      </c>
      <c r="I32">
        <v>2.7</v>
      </c>
      <c r="J32">
        <v>56.67</v>
      </c>
      <c r="K32" t="s">
        <v>96</v>
      </c>
      <c r="L32" t="s">
        <v>119</v>
      </c>
      <c r="M32" t="s">
        <v>35</v>
      </c>
      <c r="N32">
        <v>53.97</v>
      </c>
      <c r="O32">
        <v>4.7618999999999998</v>
      </c>
      <c r="P32">
        <v>2.7</v>
      </c>
      <c r="Q32">
        <v>4.3</v>
      </c>
      <c r="R32" s="8">
        <f t="shared" si="0"/>
        <v>43477</v>
      </c>
    </row>
    <row r="33" spans="1:18" x14ac:dyDescent="0.35">
      <c r="A33" t="s">
        <v>120</v>
      </c>
      <c r="B33" t="s">
        <v>68</v>
      </c>
      <c r="C33" t="s">
        <v>69</v>
      </c>
      <c r="D33" t="s">
        <v>27</v>
      </c>
      <c r="E33" t="s">
        <v>21</v>
      </c>
      <c r="F33" t="s">
        <v>22</v>
      </c>
      <c r="G33">
        <v>49.77</v>
      </c>
      <c r="H33">
        <v>7</v>
      </c>
      <c r="I33">
        <v>17.420000000000002</v>
      </c>
      <c r="J33">
        <v>365.81</v>
      </c>
      <c r="K33" t="s">
        <v>121</v>
      </c>
      <c r="L33" t="s">
        <v>122</v>
      </c>
      <c r="M33" t="s">
        <v>45</v>
      </c>
      <c r="N33">
        <v>348.39</v>
      </c>
      <c r="O33">
        <v>4.7618999999999998</v>
      </c>
      <c r="P33">
        <v>17.420000000000002</v>
      </c>
      <c r="Q33">
        <v>9.6999999999999993</v>
      </c>
      <c r="R33" s="8">
        <f>DATEVALUE(K33)</f>
        <v>43537</v>
      </c>
    </row>
    <row r="34" spans="1:18" x14ac:dyDescent="0.35">
      <c r="A34" t="s">
        <v>123</v>
      </c>
      <c r="B34" t="s">
        <v>68</v>
      </c>
      <c r="C34" t="s">
        <v>69</v>
      </c>
      <c r="D34" t="s">
        <v>20</v>
      </c>
      <c r="E34" t="s">
        <v>42</v>
      </c>
      <c r="F34" t="s">
        <v>50</v>
      </c>
      <c r="G34">
        <v>59.73</v>
      </c>
      <c r="H34">
        <v>7</v>
      </c>
      <c r="I34">
        <v>20.91</v>
      </c>
      <c r="J34">
        <v>439.02</v>
      </c>
      <c r="K34" t="s">
        <v>124</v>
      </c>
      <c r="L34" t="s">
        <v>125</v>
      </c>
      <c r="M34" t="s">
        <v>35</v>
      </c>
      <c r="N34">
        <v>418.11</v>
      </c>
      <c r="O34">
        <v>4.7618999999999998</v>
      </c>
      <c r="P34">
        <v>20.91</v>
      </c>
      <c r="Q34">
        <v>9.4</v>
      </c>
      <c r="R34" s="8">
        <f t="shared" si="0"/>
        <v>43482</v>
      </c>
    </row>
    <row r="35" spans="1:18" x14ac:dyDescent="0.35">
      <c r="A35" t="s">
        <v>126</v>
      </c>
      <c r="B35" t="s">
        <v>68</v>
      </c>
      <c r="C35" t="s">
        <v>69</v>
      </c>
      <c r="D35" t="s">
        <v>27</v>
      </c>
      <c r="E35" t="s">
        <v>21</v>
      </c>
      <c r="F35" t="s">
        <v>22</v>
      </c>
      <c r="G35">
        <v>32.46</v>
      </c>
      <c r="H35">
        <v>2</v>
      </c>
      <c r="I35">
        <v>3.25</v>
      </c>
      <c r="J35">
        <v>68.17</v>
      </c>
      <c r="K35" t="s">
        <v>127</v>
      </c>
      <c r="L35" t="s">
        <v>128</v>
      </c>
      <c r="M35" t="s">
        <v>25</v>
      </c>
      <c r="N35">
        <v>64.92</v>
      </c>
      <c r="O35">
        <v>4.7618999999999998</v>
      </c>
      <c r="P35">
        <v>3.25</v>
      </c>
      <c r="Q35">
        <v>8.5</v>
      </c>
      <c r="R35" s="8">
        <f t="shared" si="0"/>
        <v>43511</v>
      </c>
    </row>
    <row r="36" spans="1:18" x14ac:dyDescent="0.35">
      <c r="A36" t="s">
        <v>129</v>
      </c>
      <c r="B36" t="s">
        <v>68</v>
      </c>
      <c r="C36" t="s">
        <v>69</v>
      </c>
      <c r="D36" t="s">
        <v>20</v>
      </c>
      <c r="E36" t="s">
        <v>42</v>
      </c>
      <c r="F36" t="s">
        <v>28</v>
      </c>
      <c r="G36">
        <v>26.14</v>
      </c>
      <c r="H36">
        <v>6</v>
      </c>
      <c r="I36">
        <v>7.84</v>
      </c>
      <c r="J36">
        <v>164.68</v>
      </c>
      <c r="K36" t="s">
        <v>130</v>
      </c>
      <c r="L36" t="s">
        <v>131</v>
      </c>
      <c r="M36" t="s">
        <v>45</v>
      </c>
      <c r="N36">
        <v>156.84</v>
      </c>
      <c r="O36">
        <v>4.7618999999999998</v>
      </c>
      <c r="P36">
        <v>7.84</v>
      </c>
      <c r="Q36">
        <v>5.6</v>
      </c>
      <c r="R36" s="8">
        <f t="shared" si="0"/>
        <v>43518</v>
      </c>
    </row>
    <row r="37" spans="1:18" x14ac:dyDescent="0.35">
      <c r="A37" t="s">
        <v>132</v>
      </c>
      <c r="B37" t="s">
        <v>18</v>
      </c>
      <c r="C37" t="s">
        <v>19</v>
      </c>
      <c r="D37" t="s">
        <v>20</v>
      </c>
      <c r="E37" t="s">
        <v>42</v>
      </c>
      <c r="F37" t="s">
        <v>28</v>
      </c>
      <c r="G37">
        <v>87.27</v>
      </c>
      <c r="H37">
        <v>4</v>
      </c>
      <c r="I37">
        <v>17.45</v>
      </c>
      <c r="J37">
        <v>366.53</v>
      </c>
      <c r="K37" t="s">
        <v>133</v>
      </c>
      <c r="L37" t="s">
        <v>134</v>
      </c>
      <c r="M37" t="s">
        <v>35</v>
      </c>
      <c r="N37">
        <v>349.08</v>
      </c>
      <c r="O37">
        <v>4.7618999999999998</v>
      </c>
      <c r="P37">
        <v>17.45</v>
      </c>
      <c r="Q37">
        <v>8.9</v>
      </c>
      <c r="R37" s="8">
        <f t="shared" si="0"/>
        <v>43491</v>
      </c>
    </row>
    <row r="38" spans="1:18" x14ac:dyDescent="0.35">
      <c r="A38" t="s">
        <v>135</v>
      </c>
      <c r="B38" t="s">
        <v>68</v>
      </c>
      <c r="C38" t="s">
        <v>69</v>
      </c>
      <c r="D38" t="s">
        <v>20</v>
      </c>
      <c r="E38" t="s">
        <v>21</v>
      </c>
      <c r="F38" t="s">
        <v>22</v>
      </c>
      <c r="G38">
        <v>27.38</v>
      </c>
      <c r="H38">
        <v>6</v>
      </c>
      <c r="I38">
        <v>8.2100000000000009</v>
      </c>
      <c r="J38">
        <v>172.49</v>
      </c>
      <c r="K38" t="s">
        <v>136</v>
      </c>
      <c r="L38" t="s">
        <v>137</v>
      </c>
      <c r="M38" t="s">
        <v>35</v>
      </c>
      <c r="N38">
        <v>164.28</v>
      </c>
      <c r="O38">
        <v>4.7618999999999998</v>
      </c>
      <c r="P38">
        <v>8.2100000000000009</v>
      </c>
      <c r="Q38">
        <v>7.8</v>
      </c>
      <c r="R38" s="8">
        <f t="shared" si="0"/>
        <v>43501</v>
      </c>
    </row>
    <row r="39" spans="1:18" x14ac:dyDescent="0.35">
      <c r="A39" t="s">
        <v>138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88.93</v>
      </c>
      <c r="H39">
        <v>5</v>
      </c>
      <c r="I39">
        <v>22.23</v>
      </c>
      <c r="J39">
        <v>466.88</v>
      </c>
      <c r="K39" t="s">
        <v>139</v>
      </c>
      <c r="L39" t="s">
        <v>140</v>
      </c>
      <c r="M39" t="s">
        <v>45</v>
      </c>
      <c r="N39">
        <v>444.65</v>
      </c>
      <c r="O39">
        <v>4.7618999999999998</v>
      </c>
      <c r="P39">
        <v>22.23</v>
      </c>
      <c r="Q39">
        <v>4.7</v>
      </c>
      <c r="R39" s="8">
        <f t="shared" si="0"/>
        <v>43488</v>
      </c>
    </row>
    <row r="40" spans="1:18" x14ac:dyDescent="0.35">
      <c r="A40" t="s">
        <v>141</v>
      </c>
      <c r="B40" t="s">
        <v>37</v>
      </c>
      <c r="C40" t="s">
        <v>38</v>
      </c>
      <c r="D40" t="s">
        <v>27</v>
      </c>
      <c r="E40" t="s">
        <v>42</v>
      </c>
      <c r="F40" t="s">
        <v>50</v>
      </c>
      <c r="G40">
        <v>98.58</v>
      </c>
      <c r="H40">
        <v>2</v>
      </c>
      <c r="I40">
        <v>9.86</v>
      </c>
      <c r="J40">
        <v>207.02</v>
      </c>
      <c r="K40" t="s">
        <v>142</v>
      </c>
      <c r="L40" t="s">
        <v>143</v>
      </c>
      <c r="M40" t="s">
        <v>35</v>
      </c>
      <c r="N40">
        <v>197.16</v>
      </c>
      <c r="O40">
        <v>4.7618999999999998</v>
      </c>
      <c r="P40">
        <v>9.86</v>
      </c>
      <c r="Q40">
        <v>4.3</v>
      </c>
      <c r="R40" s="8">
        <f t="shared" si="0"/>
        <v>43515</v>
      </c>
    </row>
    <row r="41" spans="1:18" x14ac:dyDescent="0.35">
      <c r="A41" t="s">
        <v>144</v>
      </c>
      <c r="B41" t="s">
        <v>68</v>
      </c>
      <c r="C41" t="s">
        <v>69</v>
      </c>
      <c r="D41" t="s">
        <v>20</v>
      </c>
      <c r="E41" t="s">
        <v>42</v>
      </c>
      <c r="F41" t="s">
        <v>32</v>
      </c>
      <c r="G41">
        <v>16.3</v>
      </c>
      <c r="H41">
        <v>6</v>
      </c>
      <c r="I41">
        <v>4.8899999999999997</v>
      </c>
      <c r="J41">
        <v>102.69</v>
      </c>
      <c r="K41" t="s">
        <v>145</v>
      </c>
      <c r="L41" t="s">
        <v>146</v>
      </c>
      <c r="M41" t="s">
        <v>45</v>
      </c>
      <c r="N41">
        <v>97.8</v>
      </c>
      <c r="O41">
        <v>4.7618999999999998</v>
      </c>
      <c r="P41">
        <v>4.8899999999999997</v>
      </c>
      <c r="Q41">
        <v>8.3000000000000007</v>
      </c>
      <c r="R41" s="8">
        <f t="shared" si="0"/>
        <v>43545</v>
      </c>
    </row>
    <row r="42" spans="1:18" x14ac:dyDescent="0.35">
      <c r="A42" t="s">
        <v>147</v>
      </c>
      <c r="B42" t="s">
        <v>18</v>
      </c>
      <c r="C42" t="s">
        <v>19</v>
      </c>
      <c r="D42" t="s">
        <v>27</v>
      </c>
      <c r="E42" t="s">
        <v>42</v>
      </c>
      <c r="F42" t="s">
        <v>61</v>
      </c>
      <c r="G42">
        <v>46.22</v>
      </c>
      <c r="H42">
        <v>5</v>
      </c>
      <c r="I42">
        <v>11.55</v>
      </c>
      <c r="J42">
        <v>242.65</v>
      </c>
      <c r="K42" t="s">
        <v>116</v>
      </c>
      <c r="L42" t="s">
        <v>148</v>
      </c>
      <c r="M42" t="s">
        <v>35</v>
      </c>
      <c r="N42">
        <v>231.1</v>
      </c>
      <c r="O42">
        <v>4.7618999999999998</v>
      </c>
      <c r="P42">
        <v>11.55</v>
      </c>
      <c r="Q42">
        <v>8</v>
      </c>
      <c r="R42" s="8">
        <f t="shared" si="0"/>
        <v>43536</v>
      </c>
    </row>
    <row r="43" spans="1:18" x14ac:dyDescent="0.35">
      <c r="A43" t="s">
        <v>149</v>
      </c>
      <c r="B43" t="s">
        <v>18</v>
      </c>
      <c r="C43" t="s">
        <v>19</v>
      </c>
      <c r="D43" t="s">
        <v>20</v>
      </c>
      <c r="E43" t="s">
        <v>42</v>
      </c>
      <c r="F43" t="s">
        <v>32</v>
      </c>
      <c r="G43">
        <v>59.31</v>
      </c>
      <c r="H43">
        <v>1</v>
      </c>
      <c r="I43">
        <v>2.97</v>
      </c>
      <c r="J43">
        <v>62.28</v>
      </c>
      <c r="K43" t="s">
        <v>113</v>
      </c>
      <c r="L43" t="s">
        <v>150</v>
      </c>
      <c r="M43" t="s">
        <v>35</v>
      </c>
      <c r="N43">
        <v>59.31</v>
      </c>
      <c r="O43">
        <v>4.7618999999999998</v>
      </c>
      <c r="P43">
        <v>2.97</v>
      </c>
      <c r="Q43">
        <v>8.6999999999999993</v>
      </c>
      <c r="R43" s="8">
        <f t="shared" si="0"/>
        <v>43504</v>
      </c>
    </row>
    <row r="44" spans="1:18" x14ac:dyDescent="0.35">
      <c r="A44" t="s">
        <v>151</v>
      </c>
      <c r="B44" t="s">
        <v>18</v>
      </c>
      <c r="C44" t="s">
        <v>19</v>
      </c>
      <c r="D44" t="s">
        <v>27</v>
      </c>
      <c r="E44" t="s">
        <v>42</v>
      </c>
      <c r="F44" t="s">
        <v>32</v>
      </c>
      <c r="G44">
        <v>49.79</v>
      </c>
      <c r="H44">
        <v>4</v>
      </c>
      <c r="I44">
        <v>9.9600000000000009</v>
      </c>
      <c r="J44">
        <v>209.12</v>
      </c>
      <c r="K44" t="s">
        <v>62</v>
      </c>
      <c r="L44" t="s">
        <v>152</v>
      </c>
      <c r="M44" t="s">
        <v>45</v>
      </c>
      <c r="N44">
        <v>199.16</v>
      </c>
      <c r="O44">
        <v>4.7618999999999998</v>
      </c>
      <c r="P44">
        <v>9.9600000000000009</v>
      </c>
      <c r="Q44">
        <v>8</v>
      </c>
      <c r="R44" s="8">
        <f t="shared" si="0"/>
        <v>43531</v>
      </c>
    </row>
    <row r="45" spans="1:18" x14ac:dyDescent="0.35">
      <c r="A45" t="s">
        <v>153</v>
      </c>
      <c r="B45" t="s">
        <v>18</v>
      </c>
      <c r="C45" t="s">
        <v>19</v>
      </c>
      <c r="D45" t="s">
        <v>27</v>
      </c>
      <c r="E45" t="s">
        <v>21</v>
      </c>
      <c r="F45" t="s">
        <v>54</v>
      </c>
      <c r="G45">
        <v>70.55</v>
      </c>
      <c r="H45">
        <v>4</v>
      </c>
      <c r="I45">
        <v>14.11</v>
      </c>
      <c r="J45">
        <v>296.31</v>
      </c>
      <c r="K45" t="s">
        <v>133</v>
      </c>
      <c r="L45" t="s">
        <v>154</v>
      </c>
      <c r="M45" t="s">
        <v>45</v>
      </c>
      <c r="N45">
        <v>282.2</v>
      </c>
      <c r="O45">
        <v>4.7618999999999998</v>
      </c>
      <c r="P45">
        <v>14.11</v>
      </c>
      <c r="Q45">
        <v>5.5</v>
      </c>
      <c r="R45" s="8">
        <f t="shared" si="0"/>
        <v>43491</v>
      </c>
    </row>
    <row r="46" spans="1:18" x14ac:dyDescent="0.35">
      <c r="A46" t="s">
        <v>155</v>
      </c>
      <c r="B46" t="s">
        <v>18</v>
      </c>
      <c r="C46" t="s">
        <v>19</v>
      </c>
      <c r="D46" t="s">
        <v>20</v>
      </c>
      <c r="E46" t="s">
        <v>42</v>
      </c>
      <c r="F46" t="s">
        <v>32</v>
      </c>
      <c r="G46">
        <v>89.75</v>
      </c>
      <c r="H46">
        <v>10</v>
      </c>
      <c r="I46">
        <v>44.88</v>
      </c>
      <c r="J46">
        <v>942.38</v>
      </c>
      <c r="K46" t="s">
        <v>87</v>
      </c>
      <c r="L46" t="s">
        <v>156</v>
      </c>
      <c r="M46" t="s">
        <v>35</v>
      </c>
      <c r="N46">
        <v>897.5</v>
      </c>
      <c r="O46">
        <v>4.7618999999999998</v>
      </c>
      <c r="P46">
        <v>44.88</v>
      </c>
      <c r="Q46">
        <v>5.5</v>
      </c>
      <c r="R46" s="8">
        <f t="shared" si="0"/>
        <v>43490</v>
      </c>
    </row>
    <row r="47" spans="1:18" x14ac:dyDescent="0.35">
      <c r="A47" t="s">
        <v>157</v>
      </c>
      <c r="B47" t="s">
        <v>18</v>
      </c>
      <c r="C47" t="s">
        <v>19</v>
      </c>
      <c r="D47" t="s">
        <v>20</v>
      </c>
      <c r="E47" t="s">
        <v>21</v>
      </c>
      <c r="F47" t="s">
        <v>32</v>
      </c>
      <c r="G47">
        <v>29.7</v>
      </c>
      <c r="H47">
        <v>9</v>
      </c>
      <c r="I47">
        <v>13.37</v>
      </c>
      <c r="J47">
        <v>280.67</v>
      </c>
      <c r="K47" t="s">
        <v>51</v>
      </c>
      <c r="L47" t="s">
        <v>158</v>
      </c>
      <c r="M47" t="s">
        <v>45</v>
      </c>
      <c r="N47">
        <v>267.3</v>
      </c>
      <c r="O47">
        <v>4.7618999999999998</v>
      </c>
      <c r="P47">
        <v>13.37</v>
      </c>
      <c r="Q47">
        <v>9.5</v>
      </c>
      <c r="R47" s="8">
        <f t="shared" si="0"/>
        <v>43525</v>
      </c>
    </row>
    <row r="48" spans="1:18" x14ac:dyDescent="0.35">
      <c r="A48" t="s">
        <v>159</v>
      </c>
      <c r="B48" t="s">
        <v>37</v>
      </c>
      <c r="C48" t="s">
        <v>38</v>
      </c>
      <c r="D48" t="s">
        <v>20</v>
      </c>
      <c r="E48" t="s">
        <v>42</v>
      </c>
      <c r="F48" t="s">
        <v>22</v>
      </c>
      <c r="G48">
        <v>57.8</v>
      </c>
      <c r="H48">
        <v>9</v>
      </c>
      <c r="I48">
        <v>26.01</v>
      </c>
      <c r="J48">
        <v>546.21</v>
      </c>
      <c r="K48" t="s">
        <v>65</v>
      </c>
      <c r="L48" t="s">
        <v>160</v>
      </c>
      <c r="M48" t="s">
        <v>25</v>
      </c>
      <c r="N48">
        <v>520.20000000000005</v>
      </c>
      <c r="O48">
        <v>4.7618999999999998</v>
      </c>
      <c r="P48">
        <v>26.01</v>
      </c>
      <c r="Q48">
        <v>8.9</v>
      </c>
      <c r="R48" s="8">
        <f t="shared" si="0"/>
        <v>43542</v>
      </c>
    </row>
    <row r="49" spans="1:18" x14ac:dyDescent="0.35">
      <c r="A49" t="s">
        <v>161</v>
      </c>
      <c r="B49" t="s">
        <v>37</v>
      </c>
      <c r="C49" t="s">
        <v>38</v>
      </c>
      <c r="D49" t="s">
        <v>27</v>
      </c>
      <c r="E49" t="s">
        <v>21</v>
      </c>
      <c r="F49" t="s">
        <v>22</v>
      </c>
      <c r="G49">
        <v>87.53</v>
      </c>
      <c r="H49">
        <v>8</v>
      </c>
      <c r="I49">
        <v>35.01</v>
      </c>
      <c r="J49">
        <v>735.25</v>
      </c>
      <c r="K49" t="s">
        <v>99</v>
      </c>
      <c r="L49" t="s">
        <v>162</v>
      </c>
      <c r="M49" t="s">
        <v>35</v>
      </c>
      <c r="N49">
        <v>700.24</v>
      </c>
      <c r="O49">
        <v>4.7618999999999998</v>
      </c>
      <c r="P49">
        <v>35.01</v>
      </c>
      <c r="Q49">
        <v>8.6</v>
      </c>
      <c r="R49" s="8">
        <f t="shared" si="0"/>
        <v>43499</v>
      </c>
    </row>
    <row r="50" spans="1:18" x14ac:dyDescent="0.35">
      <c r="A50" t="s">
        <v>163</v>
      </c>
      <c r="B50" t="s">
        <v>37</v>
      </c>
      <c r="C50" t="s">
        <v>38</v>
      </c>
      <c r="D50" t="s">
        <v>20</v>
      </c>
      <c r="E50" t="s">
        <v>42</v>
      </c>
      <c r="F50" t="s">
        <v>32</v>
      </c>
      <c r="G50">
        <v>16.97</v>
      </c>
      <c r="H50">
        <v>5</v>
      </c>
      <c r="I50">
        <v>4.24</v>
      </c>
      <c r="J50">
        <v>89.09</v>
      </c>
      <c r="K50" t="s">
        <v>164</v>
      </c>
      <c r="L50" t="s">
        <v>165</v>
      </c>
      <c r="M50" t="s">
        <v>35</v>
      </c>
      <c r="N50">
        <v>84.85</v>
      </c>
      <c r="O50">
        <v>4.7618999999999998</v>
      </c>
      <c r="P50">
        <v>4.24</v>
      </c>
      <c r="Q50">
        <v>9.4</v>
      </c>
      <c r="R50" s="8">
        <f t="shared" si="0"/>
        <v>43496</v>
      </c>
    </row>
    <row r="51" spans="1:18" x14ac:dyDescent="0.35">
      <c r="A51" t="s">
        <v>166</v>
      </c>
      <c r="B51" t="s">
        <v>68</v>
      </c>
      <c r="C51" t="s">
        <v>69</v>
      </c>
      <c r="D51" t="s">
        <v>20</v>
      </c>
      <c r="E51" t="s">
        <v>21</v>
      </c>
      <c r="F51" t="s">
        <v>32</v>
      </c>
      <c r="G51">
        <v>72.459999999999994</v>
      </c>
      <c r="H51">
        <v>4</v>
      </c>
      <c r="I51">
        <v>14.49</v>
      </c>
      <c r="J51">
        <v>304.33</v>
      </c>
      <c r="K51" t="s">
        <v>167</v>
      </c>
      <c r="L51" t="s">
        <v>168</v>
      </c>
      <c r="M51" t="s">
        <v>35</v>
      </c>
      <c r="N51">
        <v>289.83999999999997</v>
      </c>
      <c r="O51">
        <v>4.7618999999999998</v>
      </c>
      <c r="P51">
        <v>14.49</v>
      </c>
      <c r="Q51">
        <v>7.3</v>
      </c>
      <c r="R51" s="8">
        <f t="shared" si="0"/>
        <v>43474</v>
      </c>
    </row>
    <row r="52" spans="1:18" x14ac:dyDescent="0.35">
      <c r="A52" t="s">
        <v>169</v>
      </c>
      <c r="B52" t="s">
        <v>68</v>
      </c>
      <c r="C52" t="s">
        <v>69</v>
      </c>
      <c r="D52" t="s">
        <v>20</v>
      </c>
      <c r="E52" t="s">
        <v>42</v>
      </c>
      <c r="F52" t="s">
        <v>32</v>
      </c>
      <c r="G52">
        <v>91.44</v>
      </c>
      <c r="H52">
        <v>10</v>
      </c>
      <c r="I52">
        <v>45.72</v>
      </c>
      <c r="J52">
        <v>960.12</v>
      </c>
      <c r="K52" t="s">
        <v>170</v>
      </c>
      <c r="L52" t="s">
        <v>171</v>
      </c>
      <c r="M52" t="s">
        <v>35</v>
      </c>
      <c r="N52">
        <v>914.4</v>
      </c>
      <c r="O52">
        <v>4.7618999999999998</v>
      </c>
      <c r="P52">
        <v>45.72</v>
      </c>
      <c r="Q52">
        <v>4</v>
      </c>
      <c r="R52" s="8">
        <f t="shared" si="0"/>
        <v>43468</v>
      </c>
    </row>
    <row r="53" spans="1:18" x14ac:dyDescent="0.35">
      <c r="A53" t="s">
        <v>172</v>
      </c>
      <c r="B53" t="s">
        <v>37</v>
      </c>
      <c r="C53" t="s">
        <v>38</v>
      </c>
      <c r="D53" t="s">
        <v>27</v>
      </c>
      <c r="E53" t="s">
        <v>42</v>
      </c>
      <c r="F53" t="s">
        <v>50</v>
      </c>
      <c r="G53">
        <v>77.28</v>
      </c>
      <c r="H53">
        <v>9</v>
      </c>
      <c r="I53">
        <v>34.78</v>
      </c>
      <c r="J53">
        <v>730.3</v>
      </c>
      <c r="K53" t="s">
        <v>39</v>
      </c>
      <c r="L53" t="s">
        <v>173</v>
      </c>
      <c r="M53" t="s">
        <v>45</v>
      </c>
      <c r="N53">
        <v>695.52</v>
      </c>
      <c r="O53">
        <v>4.7618999999999998</v>
      </c>
      <c r="P53">
        <v>34.78</v>
      </c>
      <c r="Q53">
        <v>5.6</v>
      </c>
      <c r="R53" s="8">
        <f t="shared" si="0"/>
        <v>43543</v>
      </c>
    </row>
    <row r="54" spans="1:18" x14ac:dyDescent="0.35">
      <c r="A54" t="s">
        <v>174</v>
      </c>
      <c r="B54" t="s">
        <v>68</v>
      </c>
      <c r="C54" t="s">
        <v>69</v>
      </c>
      <c r="D54" t="s">
        <v>27</v>
      </c>
      <c r="E54" t="s">
        <v>42</v>
      </c>
      <c r="F54" t="s">
        <v>22</v>
      </c>
      <c r="G54">
        <v>71.12</v>
      </c>
      <c r="H54">
        <v>7</v>
      </c>
      <c r="I54">
        <v>24.89</v>
      </c>
      <c r="J54">
        <v>522.73</v>
      </c>
      <c r="K54" t="s">
        <v>175</v>
      </c>
      <c r="L54" t="s">
        <v>176</v>
      </c>
      <c r="M54" t="s">
        <v>25</v>
      </c>
      <c r="N54">
        <v>497.84</v>
      </c>
      <c r="O54">
        <v>4.7618999999999998</v>
      </c>
      <c r="P54">
        <v>24.89</v>
      </c>
      <c r="Q54">
        <v>7.2</v>
      </c>
      <c r="R54" s="8">
        <f t="shared" si="0"/>
        <v>43487</v>
      </c>
    </row>
    <row r="55" spans="1:18" x14ac:dyDescent="0.35">
      <c r="A55" t="s">
        <v>177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48.58</v>
      </c>
      <c r="H55">
        <v>8</v>
      </c>
      <c r="I55">
        <v>19.43</v>
      </c>
      <c r="J55">
        <v>408.07</v>
      </c>
      <c r="K55" t="s">
        <v>93</v>
      </c>
      <c r="L55" t="s">
        <v>125</v>
      </c>
      <c r="M55" t="s">
        <v>35</v>
      </c>
      <c r="N55">
        <v>388.64</v>
      </c>
      <c r="O55">
        <v>4.7618999999999998</v>
      </c>
      <c r="P55">
        <v>19.43</v>
      </c>
      <c r="Q55">
        <v>6</v>
      </c>
      <c r="R55" s="8">
        <f t="shared" si="0"/>
        <v>43489</v>
      </c>
    </row>
    <row r="56" spans="1:18" x14ac:dyDescent="0.35">
      <c r="A56" t="s">
        <v>178</v>
      </c>
      <c r="B56" t="s">
        <v>37</v>
      </c>
      <c r="C56" t="s">
        <v>38</v>
      </c>
      <c r="D56" t="s">
        <v>27</v>
      </c>
      <c r="E56" t="s">
        <v>42</v>
      </c>
      <c r="F56" t="s">
        <v>61</v>
      </c>
      <c r="G56">
        <v>77.680000000000007</v>
      </c>
      <c r="H56">
        <v>7</v>
      </c>
      <c r="I56">
        <v>27.19</v>
      </c>
      <c r="J56">
        <v>570.95000000000005</v>
      </c>
      <c r="K56" t="s">
        <v>179</v>
      </c>
      <c r="L56" t="s">
        <v>180</v>
      </c>
      <c r="M56" t="s">
        <v>45</v>
      </c>
      <c r="N56">
        <v>543.76</v>
      </c>
      <c r="O56">
        <v>4.7618999999999998</v>
      </c>
      <c r="P56">
        <v>27.19</v>
      </c>
      <c r="Q56">
        <v>8.5</v>
      </c>
      <c r="R56" s="8">
        <f t="shared" si="0"/>
        <v>43498</v>
      </c>
    </row>
    <row r="57" spans="1:18" x14ac:dyDescent="0.35">
      <c r="A57" t="s">
        <v>181</v>
      </c>
      <c r="B57" t="s">
        <v>37</v>
      </c>
      <c r="C57" t="s">
        <v>38</v>
      </c>
      <c r="D57" t="s">
        <v>20</v>
      </c>
      <c r="E57" t="s">
        <v>21</v>
      </c>
      <c r="F57" t="s">
        <v>22</v>
      </c>
      <c r="G57">
        <v>13.62</v>
      </c>
      <c r="H57">
        <v>1</v>
      </c>
      <c r="I57">
        <v>0.68</v>
      </c>
      <c r="J57">
        <v>14.3</v>
      </c>
      <c r="K57" t="s">
        <v>182</v>
      </c>
      <c r="L57" t="s">
        <v>76</v>
      </c>
      <c r="M57" t="s">
        <v>25</v>
      </c>
      <c r="N57">
        <v>13.62</v>
      </c>
      <c r="O57">
        <v>4.7618999999999998</v>
      </c>
      <c r="P57">
        <v>0.68</v>
      </c>
      <c r="Q57">
        <v>4.9000000000000004</v>
      </c>
      <c r="R57" s="8">
        <f t="shared" si="0"/>
        <v>43497</v>
      </c>
    </row>
    <row r="58" spans="1:18" x14ac:dyDescent="0.35">
      <c r="A58" t="s">
        <v>183</v>
      </c>
      <c r="B58" t="s">
        <v>37</v>
      </c>
      <c r="C58" t="s">
        <v>38</v>
      </c>
      <c r="D58" t="s">
        <v>20</v>
      </c>
      <c r="E58" t="s">
        <v>21</v>
      </c>
      <c r="F58" t="s">
        <v>32</v>
      </c>
      <c r="G58">
        <v>72.95</v>
      </c>
      <c r="H58">
        <v>6</v>
      </c>
      <c r="I58">
        <v>21.89</v>
      </c>
      <c r="J58">
        <v>459.59</v>
      </c>
      <c r="K58" t="s">
        <v>175</v>
      </c>
      <c r="L58" t="s">
        <v>184</v>
      </c>
      <c r="M58" t="s">
        <v>25</v>
      </c>
      <c r="N58">
        <v>437.7</v>
      </c>
      <c r="O58">
        <v>4.7618999999999998</v>
      </c>
      <c r="P58">
        <v>21.89</v>
      </c>
      <c r="Q58">
        <v>8.3000000000000007</v>
      </c>
      <c r="R58" s="8">
        <f t="shared" si="0"/>
        <v>43487</v>
      </c>
    </row>
    <row r="59" spans="1:18" x14ac:dyDescent="0.35">
      <c r="A59" t="s">
        <v>185</v>
      </c>
      <c r="B59" t="s">
        <v>68</v>
      </c>
      <c r="C59" t="s">
        <v>69</v>
      </c>
      <c r="D59" t="s">
        <v>27</v>
      </c>
      <c r="E59" t="s">
        <v>21</v>
      </c>
      <c r="F59" t="s">
        <v>50</v>
      </c>
      <c r="G59">
        <v>12.31</v>
      </c>
      <c r="H59">
        <v>5</v>
      </c>
      <c r="I59">
        <v>3.08</v>
      </c>
      <c r="J59">
        <v>64.63</v>
      </c>
      <c r="K59" t="s">
        <v>43</v>
      </c>
      <c r="L59" t="s">
        <v>119</v>
      </c>
      <c r="M59" t="s">
        <v>35</v>
      </c>
      <c r="N59">
        <v>61.55</v>
      </c>
      <c r="O59">
        <v>4.7618999999999998</v>
      </c>
      <c r="P59">
        <v>3.08</v>
      </c>
      <c r="Q59">
        <v>9.6</v>
      </c>
      <c r="R59" s="8">
        <f t="shared" si="0"/>
        <v>43539</v>
      </c>
    </row>
    <row r="60" spans="1:18" x14ac:dyDescent="0.35">
      <c r="A60" t="s">
        <v>186</v>
      </c>
      <c r="B60" t="s">
        <v>68</v>
      </c>
      <c r="C60" t="s">
        <v>69</v>
      </c>
      <c r="D60" t="s">
        <v>20</v>
      </c>
      <c r="E60" t="s">
        <v>21</v>
      </c>
      <c r="F60" t="s">
        <v>22</v>
      </c>
      <c r="G60">
        <v>79.52</v>
      </c>
      <c r="H60">
        <v>10</v>
      </c>
      <c r="I60">
        <v>39.76</v>
      </c>
      <c r="J60">
        <v>834.96</v>
      </c>
      <c r="K60" t="s">
        <v>187</v>
      </c>
      <c r="L60" t="s">
        <v>30</v>
      </c>
      <c r="M60" t="s">
        <v>35</v>
      </c>
      <c r="N60">
        <v>795.2</v>
      </c>
      <c r="O60">
        <v>4.7618999999999998</v>
      </c>
      <c r="P60">
        <v>39.76</v>
      </c>
      <c r="Q60">
        <v>7.2</v>
      </c>
      <c r="R60" s="8">
        <f t="shared" si="0"/>
        <v>43481</v>
      </c>
    </row>
    <row r="61" spans="1:18" x14ac:dyDescent="0.35">
      <c r="A61" t="s">
        <v>188</v>
      </c>
      <c r="B61" t="s">
        <v>37</v>
      </c>
      <c r="C61" t="s">
        <v>38</v>
      </c>
      <c r="D61" t="s">
        <v>20</v>
      </c>
      <c r="E61" t="s">
        <v>42</v>
      </c>
      <c r="F61" t="s">
        <v>28</v>
      </c>
      <c r="G61">
        <v>86.46</v>
      </c>
      <c r="H61">
        <v>8</v>
      </c>
      <c r="I61">
        <v>34.58</v>
      </c>
      <c r="J61">
        <v>726.26</v>
      </c>
      <c r="K61" t="s">
        <v>189</v>
      </c>
      <c r="L61" t="s">
        <v>34</v>
      </c>
      <c r="M61" t="s">
        <v>25</v>
      </c>
      <c r="N61">
        <v>691.68</v>
      </c>
      <c r="O61">
        <v>4.7618999999999998</v>
      </c>
      <c r="P61">
        <v>34.58</v>
      </c>
      <c r="Q61">
        <v>9.3000000000000007</v>
      </c>
      <c r="R61" s="8">
        <f t="shared" si="0"/>
        <v>43479</v>
      </c>
    </row>
    <row r="62" spans="1:18" x14ac:dyDescent="0.35">
      <c r="A62" t="s">
        <v>190</v>
      </c>
      <c r="B62" t="s">
        <v>18</v>
      </c>
      <c r="C62" t="s">
        <v>19</v>
      </c>
      <c r="D62" t="s">
        <v>20</v>
      </c>
      <c r="E62" t="s">
        <v>42</v>
      </c>
      <c r="F62" t="s">
        <v>54</v>
      </c>
      <c r="G62">
        <v>76.040000000000006</v>
      </c>
      <c r="H62">
        <v>5</v>
      </c>
      <c r="I62">
        <v>19.010000000000002</v>
      </c>
      <c r="J62">
        <v>399.21</v>
      </c>
      <c r="K62" t="s">
        <v>191</v>
      </c>
      <c r="L62" t="s">
        <v>192</v>
      </c>
      <c r="M62" t="s">
        <v>35</v>
      </c>
      <c r="N62">
        <v>380.2</v>
      </c>
      <c r="O62">
        <v>4.7618999999999998</v>
      </c>
      <c r="P62">
        <v>19.010000000000002</v>
      </c>
      <c r="Q62">
        <v>6.6</v>
      </c>
      <c r="R62" s="8">
        <f t="shared" si="0"/>
        <v>43544</v>
      </c>
    </row>
    <row r="63" spans="1:18" x14ac:dyDescent="0.35">
      <c r="A63" t="s">
        <v>193</v>
      </c>
      <c r="B63" t="s">
        <v>18</v>
      </c>
      <c r="C63" t="s">
        <v>19</v>
      </c>
      <c r="D63" t="s">
        <v>27</v>
      </c>
      <c r="E63" t="s">
        <v>42</v>
      </c>
      <c r="F63" t="s">
        <v>54</v>
      </c>
      <c r="G63">
        <v>84.77</v>
      </c>
      <c r="H63">
        <v>2</v>
      </c>
      <c r="I63">
        <v>8.48</v>
      </c>
      <c r="J63">
        <v>178.02</v>
      </c>
      <c r="K63" t="s">
        <v>136</v>
      </c>
      <c r="L63" t="s">
        <v>194</v>
      </c>
      <c r="M63" t="s">
        <v>35</v>
      </c>
      <c r="N63">
        <v>169.54</v>
      </c>
      <c r="O63">
        <v>4.7618999999999998</v>
      </c>
      <c r="P63">
        <v>8.48</v>
      </c>
      <c r="Q63">
        <v>7.4</v>
      </c>
      <c r="R63" s="8">
        <f t="shared" si="0"/>
        <v>43501</v>
      </c>
    </row>
    <row r="64" spans="1:18" x14ac:dyDescent="0.35">
      <c r="A64" t="s">
        <v>195</v>
      </c>
      <c r="B64" t="s">
        <v>37</v>
      </c>
      <c r="C64" t="s">
        <v>38</v>
      </c>
      <c r="D64" t="s">
        <v>27</v>
      </c>
      <c r="E64" t="s">
        <v>21</v>
      </c>
      <c r="F64" t="s">
        <v>32</v>
      </c>
      <c r="G64">
        <v>86.59</v>
      </c>
      <c r="H64">
        <v>3</v>
      </c>
      <c r="I64">
        <v>12.99</v>
      </c>
      <c r="J64">
        <v>272.76</v>
      </c>
      <c r="K64" t="s">
        <v>196</v>
      </c>
      <c r="L64" t="s">
        <v>197</v>
      </c>
      <c r="M64" t="s">
        <v>35</v>
      </c>
      <c r="N64">
        <v>259.77</v>
      </c>
      <c r="O64">
        <v>4.7618999999999998</v>
      </c>
      <c r="P64">
        <v>12.99</v>
      </c>
      <c r="Q64">
        <v>6</v>
      </c>
      <c r="R64" s="8">
        <f t="shared" si="0"/>
        <v>43528</v>
      </c>
    </row>
    <row r="65" spans="1:18" x14ac:dyDescent="0.35">
      <c r="A65" t="s">
        <v>198</v>
      </c>
      <c r="B65" t="s">
        <v>18</v>
      </c>
      <c r="C65" t="s">
        <v>19</v>
      </c>
      <c r="D65" t="s">
        <v>27</v>
      </c>
      <c r="E65" t="s">
        <v>21</v>
      </c>
      <c r="F65" t="s">
        <v>50</v>
      </c>
      <c r="G65">
        <v>95.33</v>
      </c>
      <c r="H65">
        <v>2</v>
      </c>
      <c r="I65">
        <v>9.5299999999999994</v>
      </c>
      <c r="J65">
        <v>200.19</v>
      </c>
      <c r="K65" t="s">
        <v>164</v>
      </c>
      <c r="L65" t="s">
        <v>156</v>
      </c>
      <c r="M65" t="s">
        <v>25</v>
      </c>
      <c r="N65">
        <v>190.66</v>
      </c>
      <c r="O65">
        <v>4.7618999999999998</v>
      </c>
      <c r="P65">
        <v>9.5299999999999994</v>
      </c>
      <c r="Q65">
        <v>8.5</v>
      </c>
      <c r="R65" s="8">
        <f t="shared" si="0"/>
        <v>43496</v>
      </c>
    </row>
    <row r="66" spans="1:18" x14ac:dyDescent="0.35">
      <c r="A66" t="s">
        <v>199</v>
      </c>
      <c r="B66" t="s">
        <v>37</v>
      </c>
      <c r="C66" t="s">
        <v>38</v>
      </c>
      <c r="D66" t="s">
        <v>27</v>
      </c>
      <c r="E66" t="s">
        <v>42</v>
      </c>
      <c r="F66" t="s">
        <v>28</v>
      </c>
      <c r="G66">
        <v>18.37</v>
      </c>
      <c r="H66">
        <v>4</v>
      </c>
      <c r="I66">
        <v>3.67</v>
      </c>
      <c r="J66">
        <v>77.150000000000006</v>
      </c>
      <c r="K66" t="s">
        <v>55</v>
      </c>
      <c r="L66" t="s">
        <v>200</v>
      </c>
      <c r="M66" t="s">
        <v>25</v>
      </c>
      <c r="N66">
        <v>73.48</v>
      </c>
      <c r="O66">
        <v>4.7618999999999998</v>
      </c>
      <c r="P66">
        <v>3.67</v>
      </c>
      <c r="Q66">
        <v>7.5</v>
      </c>
      <c r="R66" s="8">
        <f t="shared" si="0"/>
        <v>43517</v>
      </c>
    </row>
    <row r="67" spans="1:18" x14ac:dyDescent="0.35">
      <c r="A67" t="s">
        <v>201</v>
      </c>
      <c r="B67" t="s">
        <v>18</v>
      </c>
      <c r="C67" t="s">
        <v>19</v>
      </c>
      <c r="D67" t="s">
        <v>27</v>
      </c>
      <c r="E67" t="s">
        <v>42</v>
      </c>
      <c r="F67" t="s">
        <v>22</v>
      </c>
      <c r="G67">
        <v>59.53</v>
      </c>
      <c r="H67">
        <v>6</v>
      </c>
      <c r="I67">
        <v>17.86</v>
      </c>
      <c r="J67">
        <v>375.04</v>
      </c>
      <c r="K67" t="s">
        <v>202</v>
      </c>
      <c r="L67" t="s">
        <v>203</v>
      </c>
      <c r="M67" t="s">
        <v>35</v>
      </c>
      <c r="N67">
        <v>357.18</v>
      </c>
      <c r="O67">
        <v>4.7618999999999998</v>
      </c>
      <c r="P67">
        <v>17.86</v>
      </c>
      <c r="Q67">
        <v>5.4</v>
      </c>
      <c r="R67" s="8">
        <f t="shared" ref="R67:R130" si="1">DATEVALUE(K67)</f>
        <v>43524</v>
      </c>
    </row>
    <row r="68" spans="1:18" x14ac:dyDescent="0.35">
      <c r="A68" t="s">
        <v>204</v>
      </c>
      <c r="B68" t="s">
        <v>68</v>
      </c>
      <c r="C68" t="s">
        <v>69</v>
      </c>
      <c r="D68" t="s">
        <v>27</v>
      </c>
      <c r="E68" t="s">
        <v>21</v>
      </c>
      <c r="F68" t="s">
        <v>22</v>
      </c>
      <c r="G68">
        <v>58.23</v>
      </c>
      <c r="H68">
        <v>3</v>
      </c>
      <c r="I68">
        <v>8.73</v>
      </c>
      <c r="J68">
        <v>183.42</v>
      </c>
      <c r="K68" t="s">
        <v>87</v>
      </c>
      <c r="L68" t="s">
        <v>44</v>
      </c>
      <c r="M68" t="s">
        <v>35</v>
      </c>
      <c r="N68">
        <v>174.69</v>
      </c>
      <c r="O68">
        <v>4.7618999999999998</v>
      </c>
      <c r="P68">
        <v>8.73</v>
      </c>
      <c r="Q68">
        <v>5.7</v>
      </c>
      <c r="R68" s="8">
        <f t="shared" si="1"/>
        <v>43490</v>
      </c>
    </row>
    <row r="69" spans="1:18" x14ac:dyDescent="0.35">
      <c r="A69" t="s">
        <v>205</v>
      </c>
      <c r="B69" t="s">
        <v>18</v>
      </c>
      <c r="C69" t="s">
        <v>19</v>
      </c>
      <c r="D69" t="s">
        <v>27</v>
      </c>
      <c r="E69" t="s">
        <v>21</v>
      </c>
      <c r="F69" t="s">
        <v>54</v>
      </c>
      <c r="G69">
        <v>36.659999999999997</v>
      </c>
      <c r="H69">
        <v>6</v>
      </c>
      <c r="I69">
        <v>11</v>
      </c>
      <c r="J69">
        <v>230.96</v>
      </c>
      <c r="K69" t="s">
        <v>139</v>
      </c>
      <c r="L69" t="s">
        <v>40</v>
      </c>
      <c r="M69" t="s">
        <v>25</v>
      </c>
      <c r="N69">
        <v>219.96</v>
      </c>
      <c r="O69">
        <v>4.7618999999999998</v>
      </c>
      <c r="P69">
        <v>11</v>
      </c>
      <c r="Q69">
        <v>7.2</v>
      </c>
      <c r="R69" s="8">
        <f t="shared" si="1"/>
        <v>43488</v>
      </c>
    </row>
    <row r="70" spans="1:18" x14ac:dyDescent="0.35">
      <c r="A70" t="s">
        <v>206</v>
      </c>
      <c r="B70" t="s">
        <v>68</v>
      </c>
      <c r="C70" t="s">
        <v>69</v>
      </c>
      <c r="D70" t="s">
        <v>20</v>
      </c>
      <c r="E70" t="s">
        <v>42</v>
      </c>
      <c r="F70" t="s">
        <v>22</v>
      </c>
      <c r="G70">
        <v>94.97</v>
      </c>
      <c r="H70">
        <v>8</v>
      </c>
      <c r="I70">
        <v>37.99</v>
      </c>
      <c r="J70">
        <v>797.75</v>
      </c>
      <c r="K70" t="s">
        <v>189</v>
      </c>
      <c r="L70" t="s">
        <v>207</v>
      </c>
      <c r="M70" t="s">
        <v>35</v>
      </c>
      <c r="N70">
        <v>759.76</v>
      </c>
      <c r="O70">
        <v>4.7618999999999998</v>
      </c>
      <c r="P70">
        <v>37.99</v>
      </c>
      <c r="Q70">
        <v>6.8</v>
      </c>
      <c r="R70" s="8">
        <f t="shared" si="1"/>
        <v>43479</v>
      </c>
    </row>
    <row r="71" spans="1:18" x14ac:dyDescent="0.35">
      <c r="A71" t="s">
        <v>208</v>
      </c>
      <c r="B71" t="s">
        <v>37</v>
      </c>
      <c r="C71" t="s">
        <v>38</v>
      </c>
      <c r="D71" t="s">
        <v>20</v>
      </c>
      <c r="E71" t="s">
        <v>21</v>
      </c>
      <c r="F71" t="s">
        <v>61</v>
      </c>
      <c r="G71">
        <v>94.7</v>
      </c>
      <c r="H71">
        <v>8</v>
      </c>
      <c r="I71">
        <v>37.880000000000003</v>
      </c>
      <c r="J71">
        <v>795.48</v>
      </c>
      <c r="K71" t="s">
        <v>209</v>
      </c>
      <c r="L71" t="s">
        <v>210</v>
      </c>
      <c r="M71" t="s">
        <v>35</v>
      </c>
      <c r="N71">
        <v>757.6</v>
      </c>
      <c r="O71">
        <v>4.7618999999999998</v>
      </c>
      <c r="P71">
        <v>37.880000000000003</v>
      </c>
      <c r="Q71">
        <v>4.4000000000000004</v>
      </c>
      <c r="R71" s="8">
        <f t="shared" si="1"/>
        <v>43480</v>
      </c>
    </row>
    <row r="72" spans="1:18" x14ac:dyDescent="0.35">
      <c r="A72" t="s">
        <v>211</v>
      </c>
      <c r="B72" t="s">
        <v>18</v>
      </c>
      <c r="C72" t="s">
        <v>19</v>
      </c>
      <c r="D72" t="s">
        <v>20</v>
      </c>
      <c r="E72" t="s">
        <v>21</v>
      </c>
      <c r="F72" t="s">
        <v>54</v>
      </c>
      <c r="G72">
        <v>83</v>
      </c>
      <c r="H72">
        <v>5</v>
      </c>
      <c r="I72">
        <v>20.75</v>
      </c>
      <c r="J72">
        <v>435.75</v>
      </c>
      <c r="K72" t="s">
        <v>107</v>
      </c>
      <c r="L72" t="s">
        <v>212</v>
      </c>
      <c r="M72" t="s">
        <v>25</v>
      </c>
      <c r="N72">
        <v>415</v>
      </c>
      <c r="O72">
        <v>4.7618999999999998</v>
      </c>
      <c r="P72">
        <v>20.75</v>
      </c>
      <c r="Q72">
        <v>8.6</v>
      </c>
      <c r="R72" s="8">
        <f t="shared" si="1"/>
        <v>43476</v>
      </c>
    </row>
    <row r="73" spans="1:18" x14ac:dyDescent="0.35">
      <c r="A73" t="s">
        <v>213</v>
      </c>
      <c r="B73" t="s">
        <v>18</v>
      </c>
      <c r="C73" t="s">
        <v>19</v>
      </c>
      <c r="D73" t="s">
        <v>20</v>
      </c>
      <c r="E73" t="s">
        <v>42</v>
      </c>
      <c r="F73" t="s">
        <v>32</v>
      </c>
      <c r="G73">
        <v>91.77</v>
      </c>
      <c r="H73">
        <v>5</v>
      </c>
      <c r="I73">
        <v>22.94</v>
      </c>
      <c r="J73">
        <v>481.79</v>
      </c>
      <c r="K73" t="s">
        <v>82</v>
      </c>
      <c r="L73" t="s">
        <v>52</v>
      </c>
      <c r="M73" t="s">
        <v>25</v>
      </c>
      <c r="N73">
        <v>458.85</v>
      </c>
      <c r="O73">
        <v>4.7618999999999998</v>
      </c>
      <c r="P73">
        <v>22.94</v>
      </c>
      <c r="Q73">
        <v>7.7</v>
      </c>
      <c r="R73" s="8">
        <f t="shared" si="1"/>
        <v>43541</v>
      </c>
    </row>
    <row r="74" spans="1:18" x14ac:dyDescent="0.35">
      <c r="A74" t="s">
        <v>214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>
        <v>28.99</v>
      </c>
      <c r="H74">
        <v>2</v>
      </c>
      <c r="I74">
        <v>2.9</v>
      </c>
      <c r="J74">
        <v>60.88</v>
      </c>
      <c r="K74" t="s">
        <v>33</v>
      </c>
      <c r="L74" t="s">
        <v>97</v>
      </c>
      <c r="M74" t="s">
        <v>25</v>
      </c>
      <c r="N74">
        <v>57.98</v>
      </c>
      <c r="O74">
        <v>4.7618999999999998</v>
      </c>
      <c r="P74">
        <v>2.9</v>
      </c>
      <c r="Q74">
        <v>4.5</v>
      </c>
      <c r="R74" s="8">
        <f t="shared" si="1"/>
        <v>43486</v>
      </c>
    </row>
    <row r="75" spans="1:18" x14ac:dyDescent="0.35">
      <c r="A75" t="s">
        <v>215</v>
      </c>
      <c r="B75" t="s">
        <v>37</v>
      </c>
      <c r="C75" t="s">
        <v>38</v>
      </c>
      <c r="D75" t="s">
        <v>27</v>
      </c>
      <c r="E75" t="s">
        <v>42</v>
      </c>
      <c r="F75" t="s">
        <v>61</v>
      </c>
      <c r="G75">
        <v>12.94</v>
      </c>
      <c r="H75">
        <v>5</v>
      </c>
      <c r="I75">
        <v>3.24</v>
      </c>
      <c r="J75">
        <v>67.94</v>
      </c>
      <c r="K75" t="s">
        <v>216</v>
      </c>
      <c r="L75" t="s">
        <v>63</v>
      </c>
      <c r="M75" t="s">
        <v>25</v>
      </c>
      <c r="N75">
        <v>64.7</v>
      </c>
      <c r="O75">
        <v>4.7618999999999998</v>
      </c>
      <c r="P75">
        <v>3.24</v>
      </c>
      <c r="Q75">
        <v>5.4</v>
      </c>
      <c r="R75" s="8">
        <f t="shared" si="1"/>
        <v>43502</v>
      </c>
    </row>
    <row r="76" spans="1:18" x14ac:dyDescent="0.35">
      <c r="A76" t="s">
        <v>217</v>
      </c>
      <c r="B76" t="s">
        <v>18</v>
      </c>
      <c r="C76" t="s">
        <v>19</v>
      </c>
      <c r="D76" t="s">
        <v>20</v>
      </c>
      <c r="E76" t="s">
        <v>42</v>
      </c>
      <c r="F76" t="s">
        <v>28</v>
      </c>
      <c r="G76">
        <v>59.01</v>
      </c>
      <c r="H76">
        <v>3</v>
      </c>
      <c r="I76">
        <v>8.85</v>
      </c>
      <c r="J76">
        <v>185.88</v>
      </c>
      <c r="K76" t="s">
        <v>218</v>
      </c>
      <c r="L76" t="s">
        <v>219</v>
      </c>
      <c r="M76" t="s">
        <v>45</v>
      </c>
      <c r="N76">
        <v>177.03</v>
      </c>
      <c r="O76">
        <v>4.7618999999999998</v>
      </c>
      <c r="P76">
        <v>8.85</v>
      </c>
      <c r="Q76">
        <v>5</v>
      </c>
      <c r="R76" s="8">
        <f t="shared" si="1"/>
        <v>43500</v>
      </c>
    </row>
    <row r="77" spans="1:18" x14ac:dyDescent="0.35">
      <c r="A77" t="s">
        <v>220</v>
      </c>
      <c r="B77" t="s">
        <v>18</v>
      </c>
      <c r="C77" t="s">
        <v>19</v>
      </c>
      <c r="D77" t="s">
        <v>27</v>
      </c>
      <c r="E77" t="s">
        <v>42</v>
      </c>
      <c r="F77" t="s">
        <v>28</v>
      </c>
      <c r="G77">
        <v>52.18</v>
      </c>
      <c r="H77">
        <v>5</v>
      </c>
      <c r="I77">
        <v>13.04</v>
      </c>
      <c r="J77">
        <v>273.94</v>
      </c>
      <c r="K77" t="s">
        <v>55</v>
      </c>
      <c r="L77" t="s">
        <v>221</v>
      </c>
      <c r="M77" t="s">
        <v>25</v>
      </c>
      <c r="N77">
        <v>260.89999999999998</v>
      </c>
      <c r="O77">
        <v>4.7618999999999998</v>
      </c>
      <c r="P77">
        <v>13.04</v>
      </c>
      <c r="Q77">
        <v>7</v>
      </c>
      <c r="R77" s="8">
        <f t="shared" si="1"/>
        <v>43517</v>
      </c>
    </row>
    <row r="78" spans="1:18" x14ac:dyDescent="0.35">
      <c r="A78" t="s">
        <v>222</v>
      </c>
      <c r="B78" t="s">
        <v>18</v>
      </c>
      <c r="C78" t="s">
        <v>19</v>
      </c>
      <c r="D78" t="s">
        <v>20</v>
      </c>
      <c r="E78" t="s">
        <v>42</v>
      </c>
      <c r="F78" t="s">
        <v>22</v>
      </c>
      <c r="G78">
        <v>39.01</v>
      </c>
      <c r="H78">
        <v>5</v>
      </c>
      <c r="I78">
        <v>9.75</v>
      </c>
      <c r="J78">
        <v>204.8</v>
      </c>
      <c r="K78" t="s">
        <v>223</v>
      </c>
      <c r="L78" t="s">
        <v>224</v>
      </c>
      <c r="M78" t="s">
        <v>25</v>
      </c>
      <c r="N78">
        <v>195.05</v>
      </c>
      <c r="O78">
        <v>4.7618999999999998</v>
      </c>
      <c r="P78">
        <v>9.75</v>
      </c>
      <c r="Q78">
        <v>9</v>
      </c>
      <c r="R78" s="8">
        <f t="shared" si="1"/>
        <v>43469</v>
      </c>
    </row>
    <row r="79" spans="1:18" x14ac:dyDescent="0.35">
      <c r="A79" t="s">
        <v>225</v>
      </c>
      <c r="B79" t="s">
        <v>18</v>
      </c>
      <c r="C79" t="s">
        <v>19</v>
      </c>
      <c r="D79" t="s">
        <v>20</v>
      </c>
      <c r="E79" t="s">
        <v>42</v>
      </c>
      <c r="F79" t="s">
        <v>50</v>
      </c>
      <c r="G79">
        <v>13.62</v>
      </c>
      <c r="H79">
        <v>3</v>
      </c>
      <c r="I79">
        <v>2.04</v>
      </c>
      <c r="J79">
        <v>42.9</v>
      </c>
      <c r="K79" t="s">
        <v>226</v>
      </c>
      <c r="L79" t="s">
        <v>227</v>
      </c>
      <c r="M79" t="s">
        <v>35</v>
      </c>
      <c r="N79">
        <v>40.86</v>
      </c>
      <c r="O79">
        <v>4.7618999999999998</v>
      </c>
      <c r="P79">
        <v>2.04</v>
      </c>
      <c r="Q79">
        <v>9.5</v>
      </c>
      <c r="R79" s="8">
        <f t="shared" si="1"/>
        <v>43526</v>
      </c>
    </row>
    <row r="80" spans="1:18" x14ac:dyDescent="0.35">
      <c r="A80" t="s">
        <v>228</v>
      </c>
      <c r="B80" t="s">
        <v>18</v>
      </c>
      <c r="C80" t="s">
        <v>19</v>
      </c>
      <c r="D80" t="s">
        <v>27</v>
      </c>
      <c r="E80" t="s">
        <v>42</v>
      </c>
      <c r="F80" t="s">
        <v>28</v>
      </c>
      <c r="G80">
        <v>52.3</v>
      </c>
      <c r="H80">
        <v>7</v>
      </c>
      <c r="I80">
        <v>18.309999999999999</v>
      </c>
      <c r="J80">
        <v>384.41</v>
      </c>
      <c r="K80" t="s">
        <v>229</v>
      </c>
      <c r="L80" t="s">
        <v>146</v>
      </c>
      <c r="M80" t="s">
        <v>45</v>
      </c>
      <c r="N80">
        <v>366.1</v>
      </c>
      <c r="O80">
        <v>4.7618999999999998</v>
      </c>
      <c r="P80">
        <v>18.309999999999999</v>
      </c>
      <c r="Q80">
        <v>9.1</v>
      </c>
      <c r="R80" s="8">
        <f t="shared" si="1"/>
        <v>43508</v>
      </c>
    </row>
    <row r="81" spans="1:18" x14ac:dyDescent="0.35">
      <c r="A81" t="s">
        <v>230</v>
      </c>
      <c r="B81" t="s">
        <v>37</v>
      </c>
      <c r="C81" t="s">
        <v>38</v>
      </c>
      <c r="D81" t="s">
        <v>27</v>
      </c>
      <c r="E81" t="s">
        <v>42</v>
      </c>
      <c r="F81" t="s">
        <v>22</v>
      </c>
      <c r="G81">
        <v>95.07</v>
      </c>
      <c r="H81">
        <v>9</v>
      </c>
      <c r="I81">
        <v>42.78</v>
      </c>
      <c r="J81">
        <v>898.41</v>
      </c>
      <c r="K81" t="s">
        <v>231</v>
      </c>
      <c r="L81" t="s">
        <v>63</v>
      </c>
      <c r="M81" t="s">
        <v>35</v>
      </c>
      <c r="N81">
        <v>855.63</v>
      </c>
      <c r="O81">
        <v>4.7618999999999998</v>
      </c>
      <c r="P81">
        <v>42.78</v>
      </c>
      <c r="Q81">
        <v>5.5</v>
      </c>
      <c r="R81" s="8">
        <f t="shared" si="1"/>
        <v>43470</v>
      </c>
    </row>
    <row r="82" spans="1:18" x14ac:dyDescent="0.35">
      <c r="A82" t="s">
        <v>232</v>
      </c>
      <c r="B82" t="s">
        <v>37</v>
      </c>
      <c r="C82" t="s">
        <v>38</v>
      </c>
      <c r="D82" t="s">
        <v>20</v>
      </c>
      <c r="E82" t="s">
        <v>42</v>
      </c>
      <c r="F82" t="s">
        <v>32</v>
      </c>
      <c r="G82">
        <v>14.88</v>
      </c>
      <c r="H82">
        <v>9</v>
      </c>
      <c r="I82">
        <v>6.7</v>
      </c>
      <c r="J82">
        <v>140.62</v>
      </c>
      <c r="K82" t="s">
        <v>233</v>
      </c>
      <c r="L82" t="s">
        <v>234</v>
      </c>
      <c r="M82" t="s">
        <v>25</v>
      </c>
      <c r="N82">
        <v>133.91999999999999</v>
      </c>
      <c r="O82">
        <v>4.7618999999999998</v>
      </c>
      <c r="P82">
        <v>6.7</v>
      </c>
      <c r="Q82">
        <v>6.7</v>
      </c>
      <c r="R82" s="8">
        <f t="shared" si="1"/>
        <v>43512</v>
      </c>
    </row>
    <row r="83" spans="1:18" x14ac:dyDescent="0.35">
      <c r="A83" t="s">
        <v>235</v>
      </c>
      <c r="B83" t="s">
        <v>68</v>
      </c>
      <c r="C83" t="s">
        <v>69</v>
      </c>
      <c r="D83" t="s">
        <v>27</v>
      </c>
      <c r="E83" t="s">
        <v>21</v>
      </c>
      <c r="F83" t="s">
        <v>61</v>
      </c>
      <c r="G83">
        <v>49.43</v>
      </c>
      <c r="H83">
        <v>8</v>
      </c>
      <c r="I83">
        <v>19.77</v>
      </c>
      <c r="J83">
        <v>415.21</v>
      </c>
      <c r="K83" t="s">
        <v>187</v>
      </c>
      <c r="L83" t="s">
        <v>236</v>
      </c>
      <c r="M83" t="s">
        <v>25</v>
      </c>
      <c r="N83">
        <v>395.44</v>
      </c>
      <c r="O83">
        <v>4.7618999999999998</v>
      </c>
      <c r="P83">
        <v>19.77</v>
      </c>
      <c r="Q83">
        <v>8.8000000000000007</v>
      </c>
      <c r="R83" s="8">
        <f t="shared" si="1"/>
        <v>43481</v>
      </c>
    </row>
    <row r="84" spans="1:18" x14ac:dyDescent="0.35">
      <c r="A84" t="s">
        <v>237</v>
      </c>
      <c r="B84" t="s">
        <v>68</v>
      </c>
      <c r="C84" t="s">
        <v>69</v>
      </c>
      <c r="D84" t="s">
        <v>27</v>
      </c>
      <c r="E84" t="s">
        <v>21</v>
      </c>
      <c r="F84" t="s">
        <v>50</v>
      </c>
      <c r="G84">
        <v>46.72</v>
      </c>
      <c r="H84">
        <v>4</v>
      </c>
      <c r="I84">
        <v>9.34</v>
      </c>
      <c r="J84">
        <v>196.22</v>
      </c>
      <c r="K84" t="s">
        <v>209</v>
      </c>
      <c r="L84" t="s">
        <v>63</v>
      </c>
      <c r="M84" t="s">
        <v>25</v>
      </c>
      <c r="N84">
        <v>186.88</v>
      </c>
      <c r="O84">
        <v>4.7618999999999998</v>
      </c>
      <c r="P84">
        <v>9.34</v>
      </c>
      <c r="Q84">
        <v>9</v>
      </c>
      <c r="R84" s="8">
        <f t="shared" si="1"/>
        <v>43480</v>
      </c>
    </row>
    <row r="85" spans="1:18" x14ac:dyDescent="0.35">
      <c r="A85" t="s">
        <v>238</v>
      </c>
      <c r="B85" t="s">
        <v>18</v>
      </c>
      <c r="C85" t="s">
        <v>19</v>
      </c>
      <c r="D85" t="s">
        <v>27</v>
      </c>
      <c r="E85" t="s">
        <v>42</v>
      </c>
      <c r="F85" t="s">
        <v>32</v>
      </c>
      <c r="G85">
        <v>85.13</v>
      </c>
      <c r="H85">
        <v>8</v>
      </c>
      <c r="I85">
        <v>34.049999999999997</v>
      </c>
      <c r="J85">
        <v>715.09</v>
      </c>
      <c r="K85" t="s">
        <v>182</v>
      </c>
      <c r="L85" t="s">
        <v>66</v>
      </c>
      <c r="M85" t="s">
        <v>45</v>
      </c>
      <c r="N85">
        <v>681.04</v>
      </c>
      <c r="O85">
        <v>4.7618999999999998</v>
      </c>
      <c r="P85">
        <v>34.049999999999997</v>
      </c>
      <c r="Q85">
        <v>6.3</v>
      </c>
      <c r="R85" s="8">
        <f t="shared" si="1"/>
        <v>43497</v>
      </c>
    </row>
    <row r="86" spans="1:18" x14ac:dyDescent="0.35">
      <c r="A86" t="s">
        <v>239</v>
      </c>
      <c r="B86" t="s">
        <v>18</v>
      </c>
      <c r="C86" t="s">
        <v>19</v>
      </c>
      <c r="D86" t="s">
        <v>20</v>
      </c>
      <c r="E86" t="s">
        <v>21</v>
      </c>
      <c r="F86" t="s">
        <v>61</v>
      </c>
      <c r="G86">
        <v>79.540000000000006</v>
      </c>
      <c r="H86">
        <v>7</v>
      </c>
      <c r="I86">
        <v>27.84</v>
      </c>
      <c r="J86">
        <v>584.62</v>
      </c>
      <c r="K86" t="s">
        <v>240</v>
      </c>
      <c r="L86" t="s">
        <v>241</v>
      </c>
      <c r="M86" t="s">
        <v>45</v>
      </c>
      <c r="N86">
        <v>556.78</v>
      </c>
      <c r="O86">
        <v>4.7618999999999998</v>
      </c>
      <c r="P86">
        <v>27.84</v>
      </c>
      <c r="Q86">
        <v>5.7</v>
      </c>
      <c r="R86" s="8">
        <f t="shared" si="1"/>
        <v>43509</v>
      </c>
    </row>
    <row r="87" spans="1:18" x14ac:dyDescent="0.35">
      <c r="A87" t="s">
        <v>242</v>
      </c>
      <c r="B87" t="s">
        <v>18</v>
      </c>
      <c r="C87" t="s">
        <v>19</v>
      </c>
      <c r="D87" t="s">
        <v>27</v>
      </c>
      <c r="E87" t="s">
        <v>21</v>
      </c>
      <c r="F87" t="s">
        <v>32</v>
      </c>
      <c r="G87">
        <v>58.47</v>
      </c>
      <c r="H87">
        <v>6</v>
      </c>
      <c r="I87">
        <v>17.54</v>
      </c>
      <c r="J87">
        <v>368.36</v>
      </c>
      <c r="K87" t="s">
        <v>229</v>
      </c>
      <c r="L87" t="s">
        <v>243</v>
      </c>
      <c r="M87" t="s">
        <v>35</v>
      </c>
      <c r="N87">
        <v>350.82</v>
      </c>
      <c r="O87">
        <v>4.7618999999999998</v>
      </c>
      <c r="P87">
        <v>17.54</v>
      </c>
      <c r="Q87">
        <v>6.7</v>
      </c>
      <c r="R87" s="8">
        <f t="shared" si="1"/>
        <v>43508</v>
      </c>
    </row>
    <row r="88" spans="1:18" x14ac:dyDescent="0.35">
      <c r="A88" t="s">
        <v>244</v>
      </c>
      <c r="B88" t="s">
        <v>68</v>
      </c>
      <c r="C88" t="s">
        <v>69</v>
      </c>
      <c r="D88" t="s">
        <v>20</v>
      </c>
      <c r="E88" t="s">
        <v>42</v>
      </c>
      <c r="F88" t="s">
        <v>54</v>
      </c>
      <c r="G88">
        <v>87.04</v>
      </c>
      <c r="H88">
        <v>7</v>
      </c>
      <c r="I88">
        <v>30.46</v>
      </c>
      <c r="J88">
        <v>639.74</v>
      </c>
      <c r="K88" t="s">
        <v>245</v>
      </c>
      <c r="L88" t="s">
        <v>246</v>
      </c>
      <c r="M88" t="s">
        <v>35</v>
      </c>
      <c r="N88">
        <v>609.28</v>
      </c>
      <c r="O88">
        <v>4.7618999999999998</v>
      </c>
      <c r="P88">
        <v>30.46</v>
      </c>
      <c r="Q88">
        <v>8.1999999999999993</v>
      </c>
      <c r="R88" s="8">
        <f t="shared" si="1"/>
        <v>43471</v>
      </c>
    </row>
    <row r="89" spans="1:18" x14ac:dyDescent="0.35">
      <c r="A89" t="s">
        <v>247</v>
      </c>
      <c r="B89" t="s">
        <v>37</v>
      </c>
      <c r="C89" t="s">
        <v>38</v>
      </c>
      <c r="D89" t="s">
        <v>27</v>
      </c>
      <c r="E89" t="s">
        <v>21</v>
      </c>
      <c r="F89" t="s">
        <v>32</v>
      </c>
      <c r="G89">
        <v>96.83</v>
      </c>
      <c r="H89">
        <v>3</v>
      </c>
      <c r="I89">
        <v>14.52</v>
      </c>
      <c r="J89">
        <v>305.01</v>
      </c>
      <c r="K89" t="s">
        <v>29</v>
      </c>
      <c r="L89" t="s">
        <v>248</v>
      </c>
      <c r="M89" t="s">
        <v>45</v>
      </c>
      <c r="N89">
        <v>290.49</v>
      </c>
      <c r="O89">
        <v>4.7618999999999998</v>
      </c>
      <c r="P89">
        <v>14.52</v>
      </c>
      <c r="Q89">
        <v>9.1999999999999993</v>
      </c>
      <c r="R89" s="8">
        <f t="shared" si="1"/>
        <v>43530</v>
      </c>
    </row>
    <row r="90" spans="1:18" x14ac:dyDescent="0.35">
      <c r="A90" t="s">
        <v>249</v>
      </c>
      <c r="B90" t="s">
        <v>68</v>
      </c>
      <c r="C90" t="s">
        <v>69</v>
      </c>
      <c r="D90" t="s">
        <v>27</v>
      </c>
      <c r="E90" t="s">
        <v>21</v>
      </c>
      <c r="F90" t="s">
        <v>22</v>
      </c>
      <c r="G90">
        <v>22.97</v>
      </c>
      <c r="H90">
        <v>3</v>
      </c>
      <c r="I90">
        <v>3.45</v>
      </c>
      <c r="J90">
        <v>72.36</v>
      </c>
      <c r="K90" t="s">
        <v>85</v>
      </c>
      <c r="L90" t="s">
        <v>100</v>
      </c>
      <c r="M90" t="s">
        <v>35</v>
      </c>
      <c r="N90">
        <v>68.91</v>
      </c>
      <c r="O90">
        <v>4.7618999999999998</v>
      </c>
      <c r="P90">
        <v>3.45</v>
      </c>
      <c r="Q90">
        <v>7.7</v>
      </c>
      <c r="R90" s="8">
        <f t="shared" si="1"/>
        <v>43475</v>
      </c>
    </row>
    <row r="91" spans="1:18" x14ac:dyDescent="0.35">
      <c r="A91" t="s">
        <v>250</v>
      </c>
      <c r="B91" t="s">
        <v>18</v>
      </c>
      <c r="C91" t="s">
        <v>19</v>
      </c>
      <c r="D91" t="s">
        <v>20</v>
      </c>
      <c r="E91" t="s">
        <v>42</v>
      </c>
      <c r="F91" t="s">
        <v>22</v>
      </c>
      <c r="G91">
        <v>87.34</v>
      </c>
      <c r="H91">
        <v>7</v>
      </c>
      <c r="I91">
        <v>30.57</v>
      </c>
      <c r="J91">
        <v>641.95000000000005</v>
      </c>
      <c r="K91" t="s">
        <v>251</v>
      </c>
      <c r="L91" t="s">
        <v>131</v>
      </c>
      <c r="M91" t="s">
        <v>35</v>
      </c>
      <c r="N91">
        <v>611.38</v>
      </c>
      <c r="O91">
        <v>4.7618999999999998</v>
      </c>
      <c r="P91">
        <v>30.57</v>
      </c>
      <c r="Q91">
        <v>9.1999999999999993</v>
      </c>
      <c r="R91" s="8">
        <f t="shared" si="1"/>
        <v>43506</v>
      </c>
    </row>
    <row r="92" spans="1:18" x14ac:dyDescent="0.35">
      <c r="A92" t="s">
        <v>252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71.599999999999994</v>
      </c>
      <c r="H92">
        <v>5</v>
      </c>
      <c r="I92">
        <v>17.899999999999999</v>
      </c>
      <c r="J92">
        <v>375.9</v>
      </c>
      <c r="K92" t="s">
        <v>253</v>
      </c>
      <c r="L92" t="s">
        <v>210</v>
      </c>
      <c r="M92" t="s">
        <v>45</v>
      </c>
      <c r="N92">
        <v>358</v>
      </c>
      <c r="O92">
        <v>4.7618999999999998</v>
      </c>
      <c r="P92">
        <v>17.899999999999999</v>
      </c>
      <c r="Q92">
        <v>8.6</v>
      </c>
      <c r="R92" s="8">
        <f t="shared" si="1"/>
        <v>43495</v>
      </c>
    </row>
    <row r="93" spans="1:18" x14ac:dyDescent="0.35">
      <c r="A93" t="s">
        <v>254</v>
      </c>
      <c r="B93" t="s">
        <v>68</v>
      </c>
      <c r="C93" t="s">
        <v>69</v>
      </c>
      <c r="D93" t="s">
        <v>27</v>
      </c>
      <c r="E93" t="s">
        <v>21</v>
      </c>
      <c r="F93" t="s">
        <v>22</v>
      </c>
      <c r="G93">
        <v>36.950000000000003</v>
      </c>
      <c r="H93">
        <v>1</v>
      </c>
      <c r="I93">
        <v>1.85</v>
      </c>
      <c r="J93">
        <v>38.799999999999997</v>
      </c>
      <c r="K93" t="s">
        <v>245</v>
      </c>
      <c r="L93" t="s">
        <v>255</v>
      </c>
      <c r="M93" t="s">
        <v>35</v>
      </c>
      <c r="N93">
        <v>36.950000000000003</v>
      </c>
      <c r="O93">
        <v>4.7618999999999998</v>
      </c>
      <c r="P93">
        <v>1.85</v>
      </c>
      <c r="Q93">
        <v>6.2</v>
      </c>
      <c r="R93" s="8">
        <f t="shared" si="1"/>
        <v>43471</v>
      </c>
    </row>
    <row r="94" spans="1:18" x14ac:dyDescent="0.35">
      <c r="A94" t="s">
        <v>256</v>
      </c>
      <c r="B94" t="s">
        <v>68</v>
      </c>
      <c r="C94" t="s">
        <v>69</v>
      </c>
      <c r="D94" t="s">
        <v>20</v>
      </c>
      <c r="E94" t="s">
        <v>42</v>
      </c>
      <c r="F94" t="s">
        <v>50</v>
      </c>
      <c r="G94">
        <v>71.36</v>
      </c>
      <c r="H94">
        <v>3</v>
      </c>
      <c r="I94">
        <v>10.7</v>
      </c>
      <c r="J94">
        <v>224.78</v>
      </c>
      <c r="K94" t="s">
        <v>175</v>
      </c>
      <c r="L94" t="s">
        <v>219</v>
      </c>
      <c r="M94" t="s">
        <v>25</v>
      </c>
      <c r="N94">
        <v>214.08</v>
      </c>
      <c r="O94">
        <v>4.7618999999999998</v>
      </c>
      <c r="P94">
        <v>10.7</v>
      </c>
      <c r="Q94">
        <v>9.1999999999999993</v>
      </c>
      <c r="R94" s="8">
        <f t="shared" si="1"/>
        <v>43487</v>
      </c>
    </row>
    <row r="95" spans="1:18" x14ac:dyDescent="0.35">
      <c r="A95" t="s">
        <v>257</v>
      </c>
      <c r="B95" t="s">
        <v>18</v>
      </c>
      <c r="C95" t="s">
        <v>19</v>
      </c>
      <c r="D95" t="s">
        <v>20</v>
      </c>
      <c r="E95" t="s">
        <v>42</v>
      </c>
      <c r="F95" t="s">
        <v>50</v>
      </c>
      <c r="G95">
        <v>22.88</v>
      </c>
      <c r="H95">
        <v>8</v>
      </c>
      <c r="I95">
        <v>9.15</v>
      </c>
      <c r="J95">
        <v>192.19</v>
      </c>
      <c r="K95" t="s">
        <v>47</v>
      </c>
      <c r="L95" t="s">
        <v>94</v>
      </c>
      <c r="M95" t="s">
        <v>35</v>
      </c>
      <c r="N95">
        <v>183.04</v>
      </c>
      <c r="O95">
        <v>4.7618999999999998</v>
      </c>
      <c r="P95">
        <v>9.15</v>
      </c>
      <c r="Q95">
        <v>8</v>
      </c>
      <c r="R95" s="8">
        <f t="shared" si="1"/>
        <v>43547</v>
      </c>
    </row>
    <row r="96" spans="1:18" x14ac:dyDescent="0.35">
      <c r="A96" t="s">
        <v>258</v>
      </c>
      <c r="B96" t="s">
        <v>37</v>
      </c>
      <c r="C96" t="s">
        <v>38</v>
      </c>
      <c r="D96" t="s">
        <v>27</v>
      </c>
      <c r="E96" t="s">
        <v>21</v>
      </c>
      <c r="F96" t="s">
        <v>28</v>
      </c>
      <c r="G96">
        <v>49.76</v>
      </c>
      <c r="H96">
        <v>6</v>
      </c>
      <c r="I96">
        <v>14.93</v>
      </c>
      <c r="J96">
        <v>313.49</v>
      </c>
      <c r="K96" t="s">
        <v>82</v>
      </c>
      <c r="L96" t="s">
        <v>259</v>
      </c>
      <c r="M96" t="s">
        <v>35</v>
      </c>
      <c r="N96">
        <v>298.56</v>
      </c>
      <c r="O96">
        <v>4.7618999999999998</v>
      </c>
      <c r="P96">
        <v>14.93</v>
      </c>
      <c r="Q96">
        <v>8.1</v>
      </c>
      <c r="R96" s="8">
        <f t="shared" si="1"/>
        <v>43541</v>
      </c>
    </row>
    <row r="97" spans="1:18" x14ac:dyDescent="0.35">
      <c r="A97" t="s">
        <v>260</v>
      </c>
      <c r="B97" t="s">
        <v>37</v>
      </c>
      <c r="C97" t="s">
        <v>38</v>
      </c>
      <c r="D97" t="s">
        <v>20</v>
      </c>
      <c r="E97" t="s">
        <v>42</v>
      </c>
      <c r="F97" t="s">
        <v>32</v>
      </c>
      <c r="G97">
        <v>19.600000000000001</v>
      </c>
      <c r="H97">
        <v>7</v>
      </c>
      <c r="I97">
        <v>6.86</v>
      </c>
      <c r="J97">
        <v>144.06</v>
      </c>
      <c r="K97" t="s">
        <v>43</v>
      </c>
      <c r="L97" t="s">
        <v>261</v>
      </c>
      <c r="M97" t="s">
        <v>35</v>
      </c>
      <c r="N97">
        <v>137.19999999999999</v>
      </c>
      <c r="O97">
        <v>4.7618999999999998</v>
      </c>
      <c r="P97">
        <v>6.86</v>
      </c>
      <c r="Q97">
        <v>10</v>
      </c>
      <c r="R97" s="8">
        <f t="shared" si="1"/>
        <v>43539</v>
      </c>
    </row>
    <row r="98" spans="1:18" x14ac:dyDescent="0.35">
      <c r="A98" t="s">
        <v>262</v>
      </c>
      <c r="B98" t="s">
        <v>68</v>
      </c>
      <c r="C98" t="s">
        <v>69</v>
      </c>
      <c r="D98" t="s">
        <v>27</v>
      </c>
      <c r="E98" t="s">
        <v>42</v>
      </c>
      <c r="F98" t="s">
        <v>28</v>
      </c>
      <c r="G98">
        <v>60.93</v>
      </c>
      <c r="H98">
        <v>1</v>
      </c>
      <c r="I98">
        <v>3.05</v>
      </c>
      <c r="J98">
        <v>63.98</v>
      </c>
      <c r="K98" t="s">
        <v>39</v>
      </c>
      <c r="L98" t="s">
        <v>100</v>
      </c>
      <c r="M98" t="s">
        <v>45</v>
      </c>
      <c r="N98">
        <v>60.93</v>
      </c>
      <c r="O98">
        <v>4.7618999999999998</v>
      </c>
      <c r="P98">
        <v>3.05</v>
      </c>
      <c r="Q98">
        <v>7.6</v>
      </c>
      <c r="R98" s="8">
        <f t="shared" si="1"/>
        <v>43543</v>
      </c>
    </row>
    <row r="99" spans="1:18" x14ac:dyDescent="0.35">
      <c r="A99" t="s">
        <v>263</v>
      </c>
      <c r="B99" t="s">
        <v>68</v>
      </c>
      <c r="C99" t="s">
        <v>69</v>
      </c>
      <c r="D99" t="s">
        <v>20</v>
      </c>
      <c r="E99" t="s">
        <v>42</v>
      </c>
      <c r="F99" t="s">
        <v>22</v>
      </c>
      <c r="G99">
        <v>78</v>
      </c>
      <c r="H99">
        <v>3</v>
      </c>
      <c r="I99">
        <v>11.7</v>
      </c>
      <c r="J99">
        <v>245.7</v>
      </c>
      <c r="K99" t="s">
        <v>264</v>
      </c>
      <c r="L99" t="s">
        <v>24</v>
      </c>
      <c r="M99" t="s">
        <v>25</v>
      </c>
      <c r="N99">
        <v>234</v>
      </c>
      <c r="O99">
        <v>4.7618999999999998</v>
      </c>
      <c r="P99">
        <v>11.7</v>
      </c>
      <c r="Q99">
        <v>4.2</v>
      </c>
      <c r="R99" s="8">
        <f t="shared" si="1"/>
        <v>43546</v>
      </c>
    </row>
    <row r="100" spans="1:18" x14ac:dyDescent="0.35">
      <c r="A100" t="s">
        <v>265</v>
      </c>
      <c r="B100" t="s">
        <v>37</v>
      </c>
      <c r="C100" t="s">
        <v>38</v>
      </c>
      <c r="D100" t="s">
        <v>20</v>
      </c>
      <c r="E100" t="s">
        <v>42</v>
      </c>
      <c r="F100" t="s">
        <v>22</v>
      </c>
      <c r="G100">
        <v>21.83</v>
      </c>
      <c r="H100">
        <v>5</v>
      </c>
      <c r="I100">
        <v>5.46</v>
      </c>
      <c r="J100">
        <v>114.61</v>
      </c>
      <c r="K100" t="s">
        <v>266</v>
      </c>
      <c r="L100" t="s">
        <v>267</v>
      </c>
      <c r="M100" t="s">
        <v>45</v>
      </c>
      <c r="N100">
        <v>109.15</v>
      </c>
      <c r="O100">
        <v>4.7618999999999998</v>
      </c>
      <c r="P100">
        <v>5.46</v>
      </c>
      <c r="Q100">
        <v>4.8</v>
      </c>
      <c r="R100" s="8">
        <f t="shared" si="1"/>
        <v>43507</v>
      </c>
    </row>
    <row r="101" spans="1:18" x14ac:dyDescent="0.35">
      <c r="A101" t="s">
        <v>268</v>
      </c>
      <c r="B101" t="s">
        <v>37</v>
      </c>
      <c r="C101" t="s">
        <v>38</v>
      </c>
      <c r="D101" t="s">
        <v>27</v>
      </c>
      <c r="E101" t="s">
        <v>21</v>
      </c>
      <c r="F101" t="s">
        <v>61</v>
      </c>
      <c r="G101">
        <v>92.26</v>
      </c>
      <c r="H101">
        <v>8</v>
      </c>
      <c r="I101">
        <v>36.9</v>
      </c>
      <c r="J101">
        <v>774.98</v>
      </c>
      <c r="K101" t="s">
        <v>269</v>
      </c>
      <c r="L101" t="s">
        <v>270</v>
      </c>
      <c r="M101" t="s">
        <v>35</v>
      </c>
      <c r="N101">
        <v>738.08</v>
      </c>
      <c r="O101">
        <v>4.7618999999999998</v>
      </c>
      <c r="P101">
        <v>36.9</v>
      </c>
      <c r="Q101">
        <v>9.8000000000000007</v>
      </c>
      <c r="R101" s="8">
        <f t="shared" si="1"/>
        <v>43503</v>
      </c>
    </row>
    <row r="102" spans="1:18" x14ac:dyDescent="0.35">
      <c r="A102" t="s">
        <v>271</v>
      </c>
      <c r="B102" t="s">
        <v>68</v>
      </c>
      <c r="C102" t="s">
        <v>69</v>
      </c>
      <c r="D102" t="s">
        <v>27</v>
      </c>
      <c r="E102" t="s">
        <v>42</v>
      </c>
      <c r="F102" t="s">
        <v>28</v>
      </c>
      <c r="G102">
        <v>81.16</v>
      </c>
      <c r="H102">
        <v>1</v>
      </c>
      <c r="I102">
        <v>4.0599999999999996</v>
      </c>
      <c r="J102">
        <v>85.22</v>
      </c>
      <c r="K102" t="s">
        <v>99</v>
      </c>
      <c r="L102" t="s">
        <v>272</v>
      </c>
      <c r="M102" t="s">
        <v>35</v>
      </c>
      <c r="N102">
        <v>81.16</v>
      </c>
      <c r="O102">
        <v>4.7618999999999998</v>
      </c>
      <c r="P102">
        <v>4.0599999999999996</v>
      </c>
      <c r="Q102">
        <v>6.2</v>
      </c>
      <c r="R102" s="8">
        <f t="shared" si="1"/>
        <v>43499</v>
      </c>
    </row>
    <row r="103" spans="1:18" x14ac:dyDescent="0.35">
      <c r="A103" t="s">
        <v>273</v>
      </c>
      <c r="B103" t="s">
        <v>18</v>
      </c>
      <c r="C103" t="s">
        <v>19</v>
      </c>
      <c r="D103" t="s">
        <v>27</v>
      </c>
      <c r="E103" t="s">
        <v>42</v>
      </c>
      <c r="F103" t="s">
        <v>22</v>
      </c>
      <c r="G103">
        <v>94.63</v>
      </c>
      <c r="H103">
        <v>2</v>
      </c>
      <c r="I103">
        <v>9.4600000000000009</v>
      </c>
      <c r="J103">
        <v>198.72</v>
      </c>
      <c r="K103" t="s">
        <v>274</v>
      </c>
      <c r="L103" t="s">
        <v>173</v>
      </c>
      <c r="M103" t="s">
        <v>45</v>
      </c>
      <c r="N103">
        <v>189.26</v>
      </c>
      <c r="O103">
        <v>4.7618999999999998</v>
      </c>
      <c r="P103">
        <v>9.4600000000000009</v>
      </c>
      <c r="Q103">
        <v>7.7</v>
      </c>
      <c r="R103" s="8">
        <f t="shared" si="1"/>
        <v>43552</v>
      </c>
    </row>
    <row r="104" spans="1:18" x14ac:dyDescent="0.35">
      <c r="A104" t="s">
        <v>275</v>
      </c>
      <c r="B104" t="s">
        <v>37</v>
      </c>
      <c r="C104" t="s">
        <v>38</v>
      </c>
      <c r="D104" t="s">
        <v>20</v>
      </c>
      <c r="E104" t="s">
        <v>21</v>
      </c>
      <c r="F104" t="s">
        <v>22</v>
      </c>
      <c r="G104">
        <v>84.15</v>
      </c>
      <c r="H104">
        <v>5</v>
      </c>
      <c r="I104">
        <v>21.04</v>
      </c>
      <c r="J104">
        <v>441.79</v>
      </c>
      <c r="K104" t="s">
        <v>276</v>
      </c>
      <c r="L104" t="s">
        <v>277</v>
      </c>
      <c r="M104" t="s">
        <v>45</v>
      </c>
      <c r="N104">
        <v>420.75</v>
      </c>
      <c r="O104">
        <v>4.7618999999999998</v>
      </c>
      <c r="P104">
        <v>21.04</v>
      </c>
      <c r="Q104">
        <v>4.3</v>
      </c>
      <c r="R104" s="8">
        <f t="shared" si="1"/>
        <v>43549</v>
      </c>
    </row>
    <row r="105" spans="1:18" x14ac:dyDescent="0.35">
      <c r="A105" t="s">
        <v>278</v>
      </c>
      <c r="B105" t="s">
        <v>37</v>
      </c>
      <c r="C105" t="s">
        <v>38</v>
      </c>
      <c r="D105" t="s">
        <v>27</v>
      </c>
      <c r="E105" t="s">
        <v>21</v>
      </c>
      <c r="F105" t="s">
        <v>28</v>
      </c>
      <c r="G105">
        <v>31.13</v>
      </c>
      <c r="H105">
        <v>9</v>
      </c>
      <c r="I105">
        <v>14.01</v>
      </c>
      <c r="J105">
        <v>294.18</v>
      </c>
      <c r="K105" t="s">
        <v>23</v>
      </c>
      <c r="L105" t="s">
        <v>156</v>
      </c>
      <c r="M105" t="s">
        <v>35</v>
      </c>
      <c r="N105">
        <v>280.17</v>
      </c>
      <c r="O105">
        <v>4.7618999999999998</v>
      </c>
      <c r="P105">
        <v>14.01</v>
      </c>
      <c r="Q105">
        <v>8</v>
      </c>
      <c r="R105" s="8">
        <f t="shared" si="1"/>
        <v>43483</v>
      </c>
    </row>
    <row r="106" spans="1:18" x14ac:dyDescent="0.35">
      <c r="A106" t="s">
        <v>279</v>
      </c>
      <c r="B106" t="s">
        <v>18</v>
      </c>
      <c r="C106" t="s">
        <v>19</v>
      </c>
      <c r="D106" t="s">
        <v>27</v>
      </c>
      <c r="E106" t="s">
        <v>21</v>
      </c>
      <c r="F106" t="s">
        <v>32</v>
      </c>
      <c r="G106">
        <v>68.94</v>
      </c>
      <c r="H106">
        <v>8</v>
      </c>
      <c r="I106">
        <v>27.58</v>
      </c>
      <c r="J106">
        <v>579.1</v>
      </c>
      <c r="K106" t="s">
        <v>191</v>
      </c>
      <c r="L106" t="s">
        <v>52</v>
      </c>
      <c r="M106" t="s">
        <v>45</v>
      </c>
      <c r="N106">
        <v>551.52</v>
      </c>
      <c r="O106">
        <v>4.7618999999999998</v>
      </c>
      <c r="P106">
        <v>27.58</v>
      </c>
      <c r="Q106">
        <v>8.1</v>
      </c>
      <c r="R106" s="8">
        <f t="shared" si="1"/>
        <v>43544</v>
      </c>
    </row>
    <row r="107" spans="1:18" x14ac:dyDescent="0.35">
      <c r="A107" t="s">
        <v>280</v>
      </c>
      <c r="B107" t="s">
        <v>37</v>
      </c>
      <c r="C107" t="s">
        <v>38</v>
      </c>
      <c r="D107" t="s">
        <v>27</v>
      </c>
      <c r="E107" t="s">
        <v>21</v>
      </c>
      <c r="F107" t="s">
        <v>61</v>
      </c>
      <c r="G107">
        <v>18.940000000000001</v>
      </c>
      <c r="H107">
        <v>6</v>
      </c>
      <c r="I107">
        <v>5.68</v>
      </c>
      <c r="J107">
        <v>119.32</v>
      </c>
      <c r="K107" t="s">
        <v>281</v>
      </c>
      <c r="L107" t="s">
        <v>282</v>
      </c>
      <c r="M107" t="s">
        <v>45</v>
      </c>
      <c r="N107">
        <v>113.64</v>
      </c>
      <c r="O107">
        <v>4.7618999999999998</v>
      </c>
      <c r="P107">
        <v>5.68</v>
      </c>
      <c r="Q107">
        <v>6.4</v>
      </c>
      <c r="R107" s="8">
        <f t="shared" si="1"/>
        <v>43535</v>
      </c>
    </row>
    <row r="108" spans="1:18" x14ac:dyDescent="0.35">
      <c r="A108" t="s">
        <v>283</v>
      </c>
      <c r="B108" t="s">
        <v>68</v>
      </c>
      <c r="C108" t="s">
        <v>69</v>
      </c>
      <c r="D108" t="s">
        <v>27</v>
      </c>
      <c r="E108" t="s">
        <v>21</v>
      </c>
      <c r="F108" t="s">
        <v>22</v>
      </c>
      <c r="G108">
        <v>29.09</v>
      </c>
      <c r="H108">
        <v>10</v>
      </c>
      <c r="I108">
        <v>14.54</v>
      </c>
      <c r="J108">
        <v>305.44</v>
      </c>
      <c r="K108" t="s">
        <v>170</v>
      </c>
      <c r="L108" t="s">
        <v>284</v>
      </c>
      <c r="M108" t="s">
        <v>45</v>
      </c>
      <c r="N108">
        <v>290.89999999999998</v>
      </c>
      <c r="O108">
        <v>4.7618999999999998</v>
      </c>
      <c r="P108">
        <v>14.54</v>
      </c>
      <c r="Q108">
        <v>9.9</v>
      </c>
      <c r="R108" s="8">
        <f t="shared" si="1"/>
        <v>43468</v>
      </c>
    </row>
    <row r="109" spans="1:18" x14ac:dyDescent="0.35">
      <c r="A109" t="s">
        <v>285</v>
      </c>
      <c r="B109" t="s">
        <v>18</v>
      </c>
      <c r="C109" t="s">
        <v>19</v>
      </c>
      <c r="D109" t="s">
        <v>20</v>
      </c>
      <c r="E109" t="s">
        <v>21</v>
      </c>
      <c r="F109" t="s">
        <v>50</v>
      </c>
      <c r="G109">
        <v>28.64</v>
      </c>
      <c r="H109">
        <v>4</v>
      </c>
      <c r="I109">
        <v>5.73</v>
      </c>
      <c r="J109">
        <v>120.29</v>
      </c>
      <c r="K109" t="s">
        <v>253</v>
      </c>
      <c r="L109" t="s">
        <v>48</v>
      </c>
      <c r="M109" t="s">
        <v>25</v>
      </c>
      <c r="N109">
        <v>114.56</v>
      </c>
      <c r="O109">
        <v>4.7618999999999998</v>
      </c>
      <c r="P109">
        <v>5.73</v>
      </c>
      <c r="Q109">
        <v>4</v>
      </c>
      <c r="R109" s="8">
        <f t="shared" si="1"/>
        <v>43495</v>
      </c>
    </row>
    <row r="110" spans="1:18" x14ac:dyDescent="0.35">
      <c r="A110" t="s">
        <v>286</v>
      </c>
      <c r="B110" t="s">
        <v>68</v>
      </c>
      <c r="C110" t="s">
        <v>69</v>
      </c>
      <c r="D110" t="s">
        <v>20</v>
      </c>
      <c r="E110" t="s">
        <v>42</v>
      </c>
      <c r="F110" t="s">
        <v>54</v>
      </c>
      <c r="G110">
        <v>19.89</v>
      </c>
      <c r="H110">
        <v>1</v>
      </c>
      <c r="I110">
        <v>0.99</v>
      </c>
      <c r="J110">
        <v>20.88</v>
      </c>
      <c r="K110" t="s">
        <v>124</v>
      </c>
      <c r="L110" t="s">
        <v>284</v>
      </c>
      <c r="M110" t="s">
        <v>45</v>
      </c>
      <c r="N110">
        <v>19.89</v>
      </c>
      <c r="O110">
        <v>4.7618999999999998</v>
      </c>
      <c r="P110">
        <v>0.99</v>
      </c>
      <c r="Q110">
        <v>7.5</v>
      </c>
      <c r="R110" s="8">
        <f t="shared" si="1"/>
        <v>43482</v>
      </c>
    </row>
    <row r="111" spans="1:18" x14ac:dyDescent="0.35">
      <c r="A111" t="s">
        <v>287</v>
      </c>
      <c r="B111" t="s">
        <v>68</v>
      </c>
      <c r="C111" t="s">
        <v>69</v>
      </c>
      <c r="D111" t="s">
        <v>27</v>
      </c>
      <c r="E111" t="s">
        <v>21</v>
      </c>
      <c r="F111" t="s">
        <v>54</v>
      </c>
      <c r="G111">
        <v>76.75</v>
      </c>
      <c r="H111">
        <v>9</v>
      </c>
      <c r="I111">
        <v>34.54</v>
      </c>
      <c r="J111">
        <v>725.29</v>
      </c>
      <c r="K111" t="s">
        <v>209</v>
      </c>
      <c r="L111" t="s">
        <v>180</v>
      </c>
      <c r="M111" t="s">
        <v>35</v>
      </c>
      <c r="N111">
        <v>690.75</v>
      </c>
      <c r="O111">
        <v>4.7618999999999998</v>
      </c>
      <c r="P111">
        <v>34.54</v>
      </c>
      <c r="Q111">
        <v>8.6999999999999993</v>
      </c>
      <c r="R111" s="8">
        <f t="shared" si="1"/>
        <v>43480</v>
      </c>
    </row>
    <row r="112" spans="1:18" x14ac:dyDescent="0.35">
      <c r="A112" t="s">
        <v>288</v>
      </c>
      <c r="B112" t="s">
        <v>18</v>
      </c>
      <c r="C112" t="s">
        <v>19</v>
      </c>
      <c r="D112" t="s">
        <v>20</v>
      </c>
      <c r="E112" t="s">
        <v>42</v>
      </c>
      <c r="F112" t="s">
        <v>50</v>
      </c>
      <c r="G112">
        <v>29.94</v>
      </c>
      <c r="H112">
        <v>10</v>
      </c>
      <c r="I112">
        <v>14.97</v>
      </c>
      <c r="J112">
        <v>314.37</v>
      </c>
      <c r="K112" t="s">
        <v>245</v>
      </c>
      <c r="L112" t="s">
        <v>289</v>
      </c>
      <c r="M112" t="s">
        <v>35</v>
      </c>
      <c r="N112">
        <v>299.39999999999998</v>
      </c>
      <c r="O112">
        <v>4.7618999999999998</v>
      </c>
      <c r="P112">
        <v>14.97</v>
      </c>
      <c r="Q112">
        <v>6.7</v>
      </c>
      <c r="R112" s="8">
        <f t="shared" si="1"/>
        <v>43471</v>
      </c>
    </row>
    <row r="113" spans="1:18" x14ac:dyDescent="0.35">
      <c r="A113" t="s">
        <v>290</v>
      </c>
      <c r="B113" t="s">
        <v>68</v>
      </c>
      <c r="C113" t="s">
        <v>69</v>
      </c>
      <c r="D113" t="s">
        <v>27</v>
      </c>
      <c r="E113" t="s">
        <v>42</v>
      </c>
      <c r="F113" t="s">
        <v>32</v>
      </c>
      <c r="G113">
        <v>71.75</v>
      </c>
      <c r="H113">
        <v>8</v>
      </c>
      <c r="I113">
        <v>28.7</v>
      </c>
      <c r="J113">
        <v>602.70000000000005</v>
      </c>
      <c r="K113" t="s">
        <v>291</v>
      </c>
      <c r="L113" t="s">
        <v>88</v>
      </c>
      <c r="M113" t="s">
        <v>35</v>
      </c>
      <c r="N113">
        <v>574</v>
      </c>
      <c r="O113">
        <v>4.7618999999999998</v>
      </c>
      <c r="P113">
        <v>28.7</v>
      </c>
      <c r="Q113">
        <v>7.6</v>
      </c>
      <c r="R113" s="8">
        <f t="shared" si="1"/>
        <v>43522</v>
      </c>
    </row>
    <row r="114" spans="1:18" x14ac:dyDescent="0.35">
      <c r="A114" t="s">
        <v>292</v>
      </c>
      <c r="B114" t="s">
        <v>68</v>
      </c>
      <c r="C114" t="s">
        <v>69</v>
      </c>
      <c r="D114" t="s">
        <v>27</v>
      </c>
      <c r="E114" t="s">
        <v>42</v>
      </c>
      <c r="F114" t="s">
        <v>32</v>
      </c>
      <c r="G114">
        <v>99.52</v>
      </c>
      <c r="H114">
        <v>9</v>
      </c>
      <c r="I114">
        <v>44.78</v>
      </c>
      <c r="J114">
        <v>940.46</v>
      </c>
      <c r="K114" t="s">
        <v>269</v>
      </c>
      <c r="L114" t="s">
        <v>66</v>
      </c>
      <c r="M114" t="s">
        <v>25</v>
      </c>
      <c r="N114">
        <v>895.68</v>
      </c>
      <c r="O114">
        <v>4.7618999999999998</v>
      </c>
      <c r="P114">
        <v>44.78</v>
      </c>
      <c r="Q114">
        <v>6.6</v>
      </c>
      <c r="R114" s="8">
        <f t="shared" si="1"/>
        <v>43503</v>
      </c>
    </row>
    <row r="115" spans="1:18" x14ac:dyDescent="0.35">
      <c r="A115" t="s">
        <v>293</v>
      </c>
      <c r="B115" t="s">
        <v>18</v>
      </c>
      <c r="C115" t="s">
        <v>19</v>
      </c>
      <c r="D115" t="s">
        <v>20</v>
      </c>
      <c r="E115" t="s">
        <v>21</v>
      </c>
      <c r="F115" t="s">
        <v>32</v>
      </c>
      <c r="G115">
        <v>50.64</v>
      </c>
      <c r="H115">
        <v>4</v>
      </c>
      <c r="I115">
        <v>10.130000000000001</v>
      </c>
      <c r="J115">
        <v>212.69</v>
      </c>
      <c r="K115" t="s">
        <v>130</v>
      </c>
      <c r="L115" t="s">
        <v>160</v>
      </c>
      <c r="M115" t="s">
        <v>35</v>
      </c>
      <c r="N115">
        <v>202.56</v>
      </c>
      <c r="O115">
        <v>4.7618999999999998</v>
      </c>
      <c r="P115">
        <v>10.130000000000001</v>
      </c>
      <c r="Q115">
        <v>6.5</v>
      </c>
      <c r="R115" s="8">
        <f t="shared" si="1"/>
        <v>43518</v>
      </c>
    </row>
    <row r="116" spans="1:18" x14ac:dyDescent="0.35">
      <c r="A116" t="s">
        <v>294</v>
      </c>
      <c r="B116" t="s">
        <v>37</v>
      </c>
      <c r="C116" t="s">
        <v>38</v>
      </c>
      <c r="D116" t="s">
        <v>27</v>
      </c>
      <c r="E116" t="s">
        <v>42</v>
      </c>
      <c r="F116" t="s">
        <v>22</v>
      </c>
      <c r="G116">
        <v>32.94</v>
      </c>
      <c r="H116">
        <v>3</v>
      </c>
      <c r="I116">
        <v>4.9400000000000004</v>
      </c>
      <c r="J116">
        <v>103.76</v>
      </c>
      <c r="K116" t="s">
        <v>295</v>
      </c>
      <c r="L116" t="s">
        <v>63</v>
      </c>
      <c r="M116" t="s">
        <v>45</v>
      </c>
      <c r="N116">
        <v>98.82</v>
      </c>
      <c r="O116">
        <v>4.7618999999999998</v>
      </c>
      <c r="P116">
        <v>4.9400000000000004</v>
      </c>
      <c r="Q116">
        <v>9</v>
      </c>
      <c r="R116" s="8">
        <f t="shared" si="1"/>
        <v>43553</v>
      </c>
    </row>
    <row r="117" spans="1:18" x14ac:dyDescent="0.35">
      <c r="A117" t="s">
        <v>296</v>
      </c>
      <c r="B117" t="s">
        <v>37</v>
      </c>
      <c r="C117" t="s">
        <v>38</v>
      </c>
      <c r="D117" t="s">
        <v>20</v>
      </c>
      <c r="E117" t="s">
        <v>42</v>
      </c>
      <c r="F117" t="s">
        <v>54</v>
      </c>
      <c r="G117">
        <v>60.07</v>
      </c>
      <c r="H117">
        <v>10</v>
      </c>
      <c r="I117">
        <v>30.04</v>
      </c>
      <c r="J117">
        <v>630.74</v>
      </c>
      <c r="K117" t="s">
        <v>121</v>
      </c>
      <c r="L117" t="s">
        <v>297</v>
      </c>
      <c r="M117" t="s">
        <v>25</v>
      </c>
      <c r="N117">
        <v>600.70000000000005</v>
      </c>
      <c r="O117">
        <v>4.7618999999999998</v>
      </c>
      <c r="P117">
        <v>30.04</v>
      </c>
      <c r="Q117">
        <v>4.7</v>
      </c>
      <c r="R117" s="8">
        <f t="shared" si="1"/>
        <v>43537</v>
      </c>
    </row>
    <row r="118" spans="1:18" x14ac:dyDescent="0.35">
      <c r="A118" t="s">
        <v>298</v>
      </c>
      <c r="B118" t="s">
        <v>18</v>
      </c>
      <c r="C118" t="s">
        <v>19</v>
      </c>
      <c r="D118" t="s">
        <v>27</v>
      </c>
      <c r="E118" t="s">
        <v>21</v>
      </c>
      <c r="F118" t="s">
        <v>61</v>
      </c>
      <c r="G118">
        <v>64.040000000000006</v>
      </c>
      <c r="H118">
        <v>6</v>
      </c>
      <c r="I118">
        <v>19.21</v>
      </c>
      <c r="J118">
        <v>403.45</v>
      </c>
      <c r="K118" t="s">
        <v>189</v>
      </c>
      <c r="L118" t="s">
        <v>299</v>
      </c>
      <c r="M118" t="s">
        <v>45</v>
      </c>
      <c r="N118">
        <v>384.24</v>
      </c>
      <c r="O118">
        <v>4.7618999999999998</v>
      </c>
      <c r="P118">
        <v>19.21</v>
      </c>
      <c r="Q118">
        <v>4.9000000000000004</v>
      </c>
      <c r="R118" s="8">
        <f t="shared" si="1"/>
        <v>43479</v>
      </c>
    </row>
    <row r="119" spans="1:18" x14ac:dyDescent="0.35">
      <c r="A119" t="s">
        <v>300</v>
      </c>
      <c r="B119" t="s">
        <v>68</v>
      </c>
      <c r="C119" t="s">
        <v>69</v>
      </c>
      <c r="D119" t="s">
        <v>20</v>
      </c>
      <c r="E119" t="s">
        <v>42</v>
      </c>
      <c r="F119" t="s">
        <v>50</v>
      </c>
      <c r="G119">
        <v>43.08</v>
      </c>
      <c r="H119">
        <v>5</v>
      </c>
      <c r="I119">
        <v>10.77</v>
      </c>
      <c r="J119">
        <v>226.17</v>
      </c>
      <c r="K119" t="s">
        <v>43</v>
      </c>
      <c r="L119" t="s">
        <v>301</v>
      </c>
      <c r="M119" t="s">
        <v>25</v>
      </c>
      <c r="N119">
        <v>215.4</v>
      </c>
      <c r="O119">
        <v>4.7618999999999998</v>
      </c>
      <c r="P119">
        <v>10.77</v>
      </c>
      <c r="Q119">
        <v>9.8000000000000007</v>
      </c>
      <c r="R119" s="8">
        <f t="shared" si="1"/>
        <v>43539</v>
      </c>
    </row>
    <row r="120" spans="1:18" x14ac:dyDescent="0.35">
      <c r="A120" t="s">
        <v>302</v>
      </c>
      <c r="B120" t="s">
        <v>18</v>
      </c>
      <c r="C120" t="s">
        <v>19</v>
      </c>
      <c r="D120" t="s">
        <v>20</v>
      </c>
      <c r="E120" t="s">
        <v>42</v>
      </c>
      <c r="F120" t="s">
        <v>28</v>
      </c>
      <c r="G120">
        <v>26.24</v>
      </c>
      <c r="H120">
        <v>5</v>
      </c>
      <c r="I120">
        <v>6.56</v>
      </c>
      <c r="J120">
        <v>137.76</v>
      </c>
      <c r="K120" t="s">
        <v>240</v>
      </c>
      <c r="L120" t="s">
        <v>255</v>
      </c>
      <c r="M120" t="s">
        <v>45</v>
      </c>
      <c r="N120">
        <v>131.19999999999999</v>
      </c>
      <c r="O120">
        <v>4.7618999999999998</v>
      </c>
      <c r="P120">
        <v>6.56</v>
      </c>
      <c r="Q120">
        <v>9.1999999999999993</v>
      </c>
      <c r="R120" s="8">
        <f t="shared" si="1"/>
        <v>43509</v>
      </c>
    </row>
    <row r="121" spans="1:18" x14ac:dyDescent="0.35">
      <c r="A121" t="s">
        <v>303</v>
      </c>
      <c r="B121" t="s">
        <v>18</v>
      </c>
      <c r="C121" t="s">
        <v>19</v>
      </c>
      <c r="D121" t="s">
        <v>27</v>
      </c>
      <c r="E121" t="s">
        <v>21</v>
      </c>
      <c r="F121" t="s">
        <v>54</v>
      </c>
      <c r="G121">
        <v>76.69</v>
      </c>
      <c r="H121">
        <v>1</v>
      </c>
      <c r="I121">
        <v>3.83</v>
      </c>
      <c r="J121">
        <v>80.52</v>
      </c>
      <c r="K121" t="s">
        <v>96</v>
      </c>
      <c r="L121" t="s">
        <v>83</v>
      </c>
      <c r="M121" t="s">
        <v>35</v>
      </c>
      <c r="N121">
        <v>76.69</v>
      </c>
      <c r="O121">
        <v>4.7618999999999998</v>
      </c>
      <c r="P121">
        <v>3.83</v>
      </c>
      <c r="Q121">
        <v>6.5</v>
      </c>
      <c r="R121" s="8">
        <f t="shared" si="1"/>
        <v>43477</v>
      </c>
    </row>
    <row r="122" spans="1:18" x14ac:dyDescent="0.35">
      <c r="A122" t="s">
        <v>304</v>
      </c>
      <c r="B122" t="s">
        <v>68</v>
      </c>
      <c r="C122" t="s">
        <v>69</v>
      </c>
      <c r="D122" t="s">
        <v>27</v>
      </c>
      <c r="E122" t="s">
        <v>42</v>
      </c>
      <c r="F122" t="s">
        <v>22</v>
      </c>
      <c r="G122">
        <v>39.19</v>
      </c>
      <c r="H122">
        <v>10</v>
      </c>
      <c r="I122">
        <v>19.59</v>
      </c>
      <c r="J122">
        <v>411.49</v>
      </c>
      <c r="K122" t="s">
        <v>65</v>
      </c>
      <c r="L122" t="s">
        <v>305</v>
      </c>
      <c r="M122" t="s">
        <v>45</v>
      </c>
      <c r="N122">
        <v>391.9</v>
      </c>
      <c r="O122">
        <v>4.7618999999999998</v>
      </c>
      <c r="P122">
        <v>19.59</v>
      </c>
      <c r="Q122">
        <v>4.9000000000000004</v>
      </c>
      <c r="R122" s="8">
        <f t="shared" si="1"/>
        <v>43542</v>
      </c>
    </row>
    <row r="123" spans="1:18" x14ac:dyDescent="0.35">
      <c r="A123" t="s">
        <v>306</v>
      </c>
      <c r="B123" t="s">
        <v>68</v>
      </c>
      <c r="C123" t="s">
        <v>69</v>
      </c>
      <c r="D123" t="s">
        <v>20</v>
      </c>
      <c r="E123" t="s">
        <v>42</v>
      </c>
      <c r="F123" t="s">
        <v>32</v>
      </c>
      <c r="G123">
        <v>69.569999999999993</v>
      </c>
      <c r="H123">
        <v>8</v>
      </c>
      <c r="I123">
        <v>27.83</v>
      </c>
      <c r="J123">
        <v>584.39</v>
      </c>
      <c r="K123" t="s">
        <v>39</v>
      </c>
      <c r="L123" t="s">
        <v>307</v>
      </c>
      <c r="M123" t="s">
        <v>35</v>
      </c>
      <c r="N123">
        <v>556.55999999999995</v>
      </c>
      <c r="O123">
        <v>4.7618999999999998</v>
      </c>
      <c r="P123">
        <v>27.83</v>
      </c>
      <c r="Q123">
        <v>5.3</v>
      </c>
      <c r="R123" s="8">
        <f t="shared" si="1"/>
        <v>43543</v>
      </c>
    </row>
    <row r="124" spans="1:18" x14ac:dyDescent="0.35">
      <c r="A124" t="s">
        <v>308</v>
      </c>
      <c r="B124" t="s">
        <v>68</v>
      </c>
      <c r="C124" t="s">
        <v>69</v>
      </c>
      <c r="D124" t="s">
        <v>27</v>
      </c>
      <c r="E124" t="s">
        <v>42</v>
      </c>
      <c r="F124" t="s">
        <v>28</v>
      </c>
      <c r="G124">
        <v>35.49</v>
      </c>
      <c r="H124">
        <v>10</v>
      </c>
      <c r="I124">
        <v>17.75</v>
      </c>
      <c r="J124">
        <v>372.65</v>
      </c>
      <c r="K124" t="s">
        <v>196</v>
      </c>
      <c r="L124" t="s">
        <v>227</v>
      </c>
      <c r="M124" t="s">
        <v>35</v>
      </c>
      <c r="N124">
        <v>354.9</v>
      </c>
      <c r="O124">
        <v>4.7618999999999998</v>
      </c>
      <c r="P124">
        <v>17.75</v>
      </c>
      <c r="Q124">
        <v>4.3</v>
      </c>
      <c r="R124" s="8">
        <f t="shared" si="1"/>
        <v>43528</v>
      </c>
    </row>
    <row r="125" spans="1:18" x14ac:dyDescent="0.35">
      <c r="A125" t="s">
        <v>309</v>
      </c>
      <c r="B125" t="s">
        <v>18</v>
      </c>
      <c r="C125" t="s">
        <v>19</v>
      </c>
      <c r="D125" t="s">
        <v>20</v>
      </c>
      <c r="E125" t="s">
        <v>21</v>
      </c>
      <c r="F125" t="s">
        <v>54</v>
      </c>
      <c r="G125">
        <v>37.130000000000003</v>
      </c>
      <c r="H125">
        <v>4</v>
      </c>
      <c r="I125">
        <v>7.43</v>
      </c>
      <c r="J125">
        <v>155.94999999999999</v>
      </c>
      <c r="K125" t="s">
        <v>23</v>
      </c>
      <c r="L125" t="s">
        <v>203</v>
      </c>
      <c r="M125" t="s">
        <v>35</v>
      </c>
      <c r="N125">
        <v>148.52000000000001</v>
      </c>
      <c r="O125">
        <v>4.7618999999999998</v>
      </c>
      <c r="P125">
        <v>7.43</v>
      </c>
      <c r="Q125">
        <v>4.7</v>
      </c>
      <c r="R125" s="8">
        <f t="shared" si="1"/>
        <v>43483</v>
      </c>
    </row>
    <row r="126" spans="1:18" x14ac:dyDescent="0.35">
      <c r="A126" t="s">
        <v>310</v>
      </c>
      <c r="B126" t="s">
        <v>18</v>
      </c>
      <c r="C126" t="s">
        <v>19</v>
      </c>
      <c r="D126" t="s">
        <v>27</v>
      </c>
      <c r="E126" t="s">
        <v>21</v>
      </c>
      <c r="F126" t="s">
        <v>54</v>
      </c>
      <c r="G126">
        <v>44.22</v>
      </c>
      <c r="H126">
        <v>4</v>
      </c>
      <c r="I126">
        <v>8.84</v>
      </c>
      <c r="J126">
        <v>185.72</v>
      </c>
      <c r="K126" t="s">
        <v>29</v>
      </c>
      <c r="L126" t="s">
        <v>227</v>
      </c>
      <c r="M126" t="s">
        <v>35</v>
      </c>
      <c r="N126">
        <v>176.88</v>
      </c>
      <c r="O126">
        <v>4.7618999999999998</v>
      </c>
      <c r="P126">
        <v>8.84</v>
      </c>
      <c r="Q126">
        <v>4.4000000000000004</v>
      </c>
      <c r="R126" s="8">
        <f t="shared" si="1"/>
        <v>43530</v>
      </c>
    </row>
    <row r="127" spans="1:18" x14ac:dyDescent="0.35">
      <c r="A127" t="s">
        <v>311</v>
      </c>
      <c r="B127" t="s">
        <v>18</v>
      </c>
      <c r="C127" t="s">
        <v>19</v>
      </c>
      <c r="D127" t="s">
        <v>20</v>
      </c>
      <c r="E127" t="s">
        <v>42</v>
      </c>
      <c r="F127" t="s">
        <v>28</v>
      </c>
      <c r="G127">
        <v>51.38</v>
      </c>
      <c r="H127">
        <v>2</v>
      </c>
      <c r="I127">
        <v>5.14</v>
      </c>
      <c r="J127">
        <v>107.9</v>
      </c>
      <c r="K127" t="s">
        <v>251</v>
      </c>
      <c r="L127" t="s">
        <v>171</v>
      </c>
      <c r="M127" t="s">
        <v>25</v>
      </c>
      <c r="N127">
        <v>102.76</v>
      </c>
      <c r="O127">
        <v>4.7618999999999998</v>
      </c>
      <c r="P127">
        <v>5.14</v>
      </c>
      <c r="Q127">
        <v>6.4</v>
      </c>
      <c r="R127" s="8">
        <f t="shared" si="1"/>
        <v>43506</v>
      </c>
    </row>
    <row r="128" spans="1:18" x14ac:dyDescent="0.35">
      <c r="A128" t="s">
        <v>312</v>
      </c>
      <c r="B128" t="s">
        <v>37</v>
      </c>
      <c r="C128" t="s">
        <v>38</v>
      </c>
      <c r="D128" t="s">
        <v>27</v>
      </c>
      <c r="E128" t="s">
        <v>21</v>
      </c>
      <c r="F128" t="s">
        <v>32</v>
      </c>
      <c r="G128">
        <v>11.88</v>
      </c>
      <c r="H128">
        <v>6</v>
      </c>
      <c r="I128">
        <v>3.56</v>
      </c>
      <c r="J128">
        <v>74.84</v>
      </c>
      <c r="K128" t="s">
        <v>175</v>
      </c>
      <c r="L128" t="s">
        <v>234</v>
      </c>
      <c r="M128" t="s">
        <v>25</v>
      </c>
      <c r="N128">
        <v>71.28</v>
      </c>
      <c r="O128">
        <v>4.7618999999999998</v>
      </c>
      <c r="P128">
        <v>3.56</v>
      </c>
      <c r="Q128">
        <v>9.5</v>
      </c>
      <c r="R128" s="8">
        <f t="shared" si="1"/>
        <v>43487</v>
      </c>
    </row>
    <row r="129" spans="1:18" x14ac:dyDescent="0.35">
      <c r="A129" t="s">
        <v>313</v>
      </c>
      <c r="B129" t="s">
        <v>37</v>
      </c>
      <c r="C129" t="s">
        <v>38</v>
      </c>
      <c r="D129" t="s">
        <v>20</v>
      </c>
      <c r="E129" t="s">
        <v>21</v>
      </c>
      <c r="F129" t="s">
        <v>32</v>
      </c>
      <c r="G129">
        <v>63</v>
      </c>
      <c r="H129">
        <v>9</v>
      </c>
      <c r="I129">
        <v>28.35</v>
      </c>
      <c r="J129">
        <v>595.35</v>
      </c>
      <c r="K129" t="s">
        <v>107</v>
      </c>
      <c r="L129" t="s">
        <v>52</v>
      </c>
      <c r="M129" t="s">
        <v>25</v>
      </c>
      <c r="N129">
        <v>567</v>
      </c>
      <c r="O129">
        <v>4.7618999999999998</v>
      </c>
      <c r="P129">
        <v>28.35</v>
      </c>
      <c r="Q129">
        <v>6</v>
      </c>
      <c r="R129" s="8">
        <f t="shared" si="1"/>
        <v>43476</v>
      </c>
    </row>
    <row r="130" spans="1:18" x14ac:dyDescent="0.35">
      <c r="A130" t="s">
        <v>314</v>
      </c>
      <c r="B130" t="s">
        <v>68</v>
      </c>
      <c r="C130" t="s">
        <v>69</v>
      </c>
      <c r="D130" t="s">
        <v>20</v>
      </c>
      <c r="E130" t="s">
        <v>21</v>
      </c>
      <c r="F130" t="s">
        <v>50</v>
      </c>
      <c r="G130">
        <v>55.9</v>
      </c>
      <c r="H130">
        <v>6</v>
      </c>
      <c r="I130">
        <v>16.77</v>
      </c>
      <c r="J130">
        <v>352.17</v>
      </c>
      <c r="K130" t="s">
        <v>315</v>
      </c>
      <c r="L130" t="s">
        <v>316</v>
      </c>
      <c r="M130" t="s">
        <v>45</v>
      </c>
      <c r="N130">
        <v>335.4</v>
      </c>
      <c r="O130">
        <v>4.7618999999999998</v>
      </c>
      <c r="P130">
        <v>16.77</v>
      </c>
      <c r="Q130">
        <v>4.5999999999999996</v>
      </c>
      <c r="R130" s="8">
        <f t="shared" si="1"/>
        <v>43510</v>
      </c>
    </row>
    <row r="131" spans="1:18" x14ac:dyDescent="0.35">
      <c r="A131" t="s">
        <v>317</v>
      </c>
      <c r="B131" t="s">
        <v>68</v>
      </c>
      <c r="C131" t="s">
        <v>69</v>
      </c>
      <c r="D131" t="s">
        <v>20</v>
      </c>
      <c r="E131" t="s">
        <v>21</v>
      </c>
      <c r="F131" t="s">
        <v>22</v>
      </c>
      <c r="G131">
        <v>16.78</v>
      </c>
      <c r="H131">
        <v>8</v>
      </c>
      <c r="I131">
        <v>6.71</v>
      </c>
      <c r="J131">
        <v>140.94999999999999</v>
      </c>
      <c r="K131" t="s">
        <v>51</v>
      </c>
      <c r="L131" t="s">
        <v>184</v>
      </c>
      <c r="M131" t="s">
        <v>35</v>
      </c>
      <c r="N131">
        <v>134.24</v>
      </c>
      <c r="O131">
        <v>4.7618999999999998</v>
      </c>
      <c r="P131">
        <v>6.71</v>
      </c>
      <c r="Q131">
        <v>8.1</v>
      </c>
      <c r="R131" s="8">
        <f t="shared" ref="R131:R194" si="2">DATEVALUE(K131)</f>
        <v>43525</v>
      </c>
    </row>
    <row r="132" spans="1:18" x14ac:dyDescent="0.35">
      <c r="A132" t="s">
        <v>318</v>
      </c>
      <c r="B132" t="s">
        <v>18</v>
      </c>
      <c r="C132" t="s">
        <v>19</v>
      </c>
      <c r="D132" t="s">
        <v>27</v>
      </c>
      <c r="E132" t="s">
        <v>42</v>
      </c>
      <c r="F132" t="s">
        <v>54</v>
      </c>
      <c r="G132">
        <v>49.58</v>
      </c>
      <c r="H132">
        <v>8</v>
      </c>
      <c r="I132">
        <v>19.829999999999998</v>
      </c>
      <c r="J132">
        <v>416.47</v>
      </c>
      <c r="K132" t="s">
        <v>291</v>
      </c>
      <c r="L132" t="s">
        <v>110</v>
      </c>
      <c r="M132" t="s">
        <v>35</v>
      </c>
      <c r="N132">
        <v>396.64</v>
      </c>
      <c r="O132">
        <v>4.7618999999999998</v>
      </c>
      <c r="P132">
        <v>19.829999999999998</v>
      </c>
      <c r="Q132">
        <v>7.5</v>
      </c>
      <c r="R132" s="8">
        <f t="shared" si="2"/>
        <v>43522</v>
      </c>
    </row>
    <row r="133" spans="1:18" x14ac:dyDescent="0.35">
      <c r="A133" t="s">
        <v>319</v>
      </c>
      <c r="B133" t="s">
        <v>18</v>
      </c>
      <c r="C133" t="s">
        <v>19</v>
      </c>
      <c r="D133" t="s">
        <v>20</v>
      </c>
      <c r="E133" t="s">
        <v>42</v>
      </c>
      <c r="F133" t="s">
        <v>32</v>
      </c>
      <c r="G133">
        <v>50.67</v>
      </c>
      <c r="H133">
        <v>1</v>
      </c>
      <c r="I133">
        <v>2.5299999999999998</v>
      </c>
      <c r="J133">
        <v>53.2</v>
      </c>
      <c r="K133" t="s">
        <v>320</v>
      </c>
      <c r="L133" t="s">
        <v>56</v>
      </c>
      <c r="M133" t="s">
        <v>25</v>
      </c>
      <c r="N133">
        <v>50.67</v>
      </c>
      <c r="O133">
        <v>4.7618999999999998</v>
      </c>
      <c r="P133">
        <v>2.5299999999999998</v>
      </c>
      <c r="Q133">
        <v>9.1999999999999993</v>
      </c>
      <c r="R133" s="8">
        <f t="shared" si="2"/>
        <v>43513</v>
      </c>
    </row>
    <row r="134" spans="1:18" x14ac:dyDescent="0.35">
      <c r="A134" t="s">
        <v>321</v>
      </c>
      <c r="B134" t="s">
        <v>68</v>
      </c>
      <c r="C134" t="s">
        <v>69</v>
      </c>
      <c r="D134" t="s">
        <v>27</v>
      </c>
      <c r="E134" t="s">
        <v>42</v>
      </c>
      <c r="F134" t="s">
        <v>50</v>
      </c>
      <c r="G134">
        <v>59.89</v>
      </c>
      <c r="H134">
        <v>1</v>
      </c>
      <c r="I134">
        <v>2.99</v>
      </c>
      <c r="J134">
        <v>62.88</v>
      </c>
      <c r="K134" t="s">
        <v>322</v>
      </c>
      <c r="L134" t="s">
        <v>114</v>
      </c>
      <c r="M134" t="s">
        <v>45</v>
      </c>
      <c r="N134">
        <v>59.89</v>
      </c>
      <c r="O134">
        <v>4.7618999999999998</v>
      </c>
      <c r="P134">
        <v>2.99</v>
      </c>
      <c r="Q134">
        <v>5.9</v>
      </c>
      <c r="R134" s="8">
        <f t="shared" si="2"/>
        <v>43523</v>
      </c>
    </row>
    <row r="135" spans="1:18" x14ac:dyDescent="0.35">
      <c r="A135" t="s">
        <v>323</v>
      </c>
      <c r="B135" t="s">
        <v>18</v>
      </c>
      <c r="C135" t="s">
        <v>19</v>
      </c>
      <c r="D135" t="s">
        <v>20</v>
      </c>
      <c r="E135" t="s">
        <v>21</v>
      </c>
      <c r="F135" t="s">
        <v>32</v>
      </c>
      <c r="G135">
        <v>19.32</v>
      </c>
      <c r="H135">
        <v>6</v>
      </c>
      <c r="I135">
        <v>5.8</v>
      </c>
      <c r="J135">
        <v>121.72</v>
      </c>
      <c r="K135" t="s">
        <v>107</v>
      </c>
      <c r="L135" t="s">
        <v>227</v>
      </c>
      <c r="M135" t="s">
        <v>45</v>
      </c>
      <c r="N135">
        <v>115.92</v>
      </c>
      <c r="O135">
        <v>4.7618999999999998</v>
      </c>
      <c r="P135">
        <v>5.8</v>
      </c>
      <c r="Q135">
        <v>4.2</v>
      </c>
      <c r="R135" s="8">
        <f t="shared" si="2"/>
        <v>43476</v>
      </c>
    </row>
    <row r="136" spans="1:18" x14ac:dyDescent="0.35">
      <c r="A136" t="s">
        <v>324</v>
      </c>
      <c r="B136" t="s">
        <v>37</v>
      </c>
      <c r="C136" t="s">
        <v>38</v>
      </c>
      <c r="D136" t="s">
        <v>27</v>
      </c>
      <c r="E136" t="s">
        <v>21</v>
      </c>
      <c r="F136" t="s">
        <v>61</v>
      </c>
      <c r="G136">
        <v>43.56</v>
      </c>
      <c r="H136">
        <v>5</v>
      </c>
      <c r="I136">
        <v>10.89</v>
      </c>
      <c r="J136">
        <v>228.69</v>
      </c>
      <c r="K136" t="s">
        <v>142</v>
      </c>
      <c r="L136" t="s">
        <v>34</v>
      </c>
      <c r="M136" t="s">
        <v>25</v>
      </c>
      <c r="N136">
        <v>217.8</v>
      </c>
      <c r="O136">
        <v>4.7618999999999998</v>
      </c>
      <c r="P136">
        <v>10.89</v>
      </c>
      <c r="Q136">
        <v>7.6</v>
      </c>
      <c r="R136" s="8">
        <f t="shared" si="2"/>
        <v>43515</v>
      </c>
    </row>
    <row r="137" spans="1:18" x14ac:dyDescent="0.35">
      <c r="A137" t="s">
        <v>325</v>
      </c>
      <c r="B137" t="s">
        <v>18</v>
      </c>
      <c r="C137" t="s">
        <v>19</v>
      </c>
      <c r="D137" t="s">
        <v>27</v>
      </c>
      <c r="E137" t="s">
        <v>21</v>
      </c>
      <c r="F137" t="s">
        <v>61</v>
      </c>
      <c r="G137">
        <v>18.510000000000002</v>
      </c>
      <c r="H137">
        <v>7</v>
      </c>
      <c r="I137">
        <v>6.48</v>
      </c>
      <c r="J137">
        <v>136.05000000000001</v>
      </c>
      <c r="K137" t="s">
        <v>216</v>
      </c>
      <c r="L137" t="s">
        <v>326</v>
      </c>
      <c r="M137" t="s">
        <v>25</v>
      </c>
      <c r="N137">
        <v>129.57</v>
      </c>
      <c r="O137">
        <v>4.7618999999999998</v>
      </c>
      <c r="P137">
        <v>6.48</v>
      </c>
      <c r="Q137">
        <v>9.8000000000000007</v>
      </c>
      <c r="R137" s="8">
        <f t="shared" si="2"/>
        <v>43502</v>
      </c>
    </row>
    <row r="138" spans="1:18" x14ac:dyDescent="0.35">
      <c r="A138" t="s">
        <v>327</v>
      </c>
      <c r="B138" t="s">
        <v>68</v>
      </c>
      <c r="C138" t="s">
        <v>69</v>
      </c>
      <c r="D138" t="s">
        <v>27</v>
      </c>
      <c r="E138" t="s">
        <v>21</v>
      </c>
      <c r="F138" t="s">
        <v>50</v>
      </c>
      <c r="G138">
        <v>69.73</v>
      </c>
      <c r="H138">
        <v>6</v>
      </c>
      <c r="I138">
        <v>20.92</v>
      </c>
      <c r="J138">
        <v>439.3</v>
      </c>
      <c r="K138" t="s">
        <v>75</v>
      </c>
      <c r="L138" t="s">
        <v>131</v>
      </c>
      <c r="M138" t="s">
        <v>25</v>
      </c>
      <c r="N138">
        <v>418.38</v>
      </c>
      <c r="O138">
        <v>4.7618999999999998</v>
      </c>
      <c r="P138">
        <v>20.92</v>
      </c>
      <c r="Q138">
        <v>6.4</v>
      </c>
      <c r="R138" s="8">
        <f t="shared" si="2"/>
        <v>43505</v>
      </c>
    </row>
    <row r="139" spans="1:18" x14ac:dyDescent="0.35">
      <c r="A139" t="s">
        <v>328</v>
      </c>
      <c r="B139" t="s">
        <v>18</v>
      </c>
      <c r="C139" t="s">
        <v>19</v>
      </c>
      <c r="D139" t="s">
        <v>20</v>
      </c>
      <c r="E139" t="s">
        <v>42</v>
      </c>
      <c r="F139" t="s">
        <v>50</v>
      </c>
      <c r="G139">
        <v>43.9</v>
      </c>
      <c r="H139">
        <v>6</v>
      </c>
      <c r="I139">
        <v>13.17</v>
      </c>
      <c r="J139">
        <v>276.57</v>
      </c>
      <c r="K139" t="s">
        <v>124</v>
      </c>
      <c r="L139" t="s">
        <v>131</v>
      </c>
      <c r="M139" t="s">
        <v>25</v>
      </c>
      <c r="N139">
        <v>263.39999999999998</v>
      </c>
      <c r="O139">
        <v>4.7618999999999998</v>
      </c>
      <c r="P139">
        <v>13.17</v>
      </c>
      <c r="Q139">
        <v>10</v>
      </c>
      <c r="R139" s="8">
        <f t="shared" si="2"/>
        <v>43482</v>
      </c>
    </row>
    <row r="140" spans="1:18" x14ac:dyDescent="0.35">
      <c r="A140" t="s">
        <v>329</v>
      </c>
      <c r="B140" t="s">
        <v>68</v>
      </c>
      <c r="C140" t="s">
        <v>69</v>
      </c>
      <c r="D140" t="s">
        <v>27</v>
      </c>
      <c r="E140" t="s">
        <v>42</v>
      </c>
      <c r="F140" t="s">
        <v>28</v>
      </c>
      <c r="G140">
        <v>42.63</v>
      </c>
      <c r="H140">
        <v>3</v>
      </c>
      <c r="I140">
        <v>6.39</v>
      </c>
      <c r="J140">
        <v>134.28</v>
      </c>
      <c r="K140" t="s">
        <v>330</v>
      </c>
      <c r="L140" t="s">
        <v>160</v>
      </c>
      <c r="M140" t="s">
        <v>45</v>
      </c>
      <c r="N140">
        <v>127.89</v>
      </c>
      <c r="O140">
        <v>4.7618999999999998</v>
      </c>
      <c r="P140">
        <v>6.39</v>
      </c>
      <c r="Q140">
        <v>5.4</v>
      </c>
      <c r="R140" s="8">
        <f t="shared" si="2"/>
        <v>43493</v>
      </c>
    </row>
    <row r="141" spans="1:18" x14ac:dyDescent="0.35">
      <c r="A141" t="s">
        <v>331</v>
      </c>
      <c r="B141" t="s">
        <v>68</v>
      </c>
      <c r="C141" t="s">
        <v>69</v>
      </c>
      <c r="D141" t="s">
        <v>20</v>
      </c>
      <c r="E141" t="s">
        <v>42</v>
      </c>
      <c r="F141" t="s">
        <v>28</v>
      </c>
      <c r="G141">
        <v>55.69</v>
      </c>
      <c r="H141">
        <v>9</v>
      </c>
      <c r="I141">
        <v>25.06</v>
      </c>
      <c r="J141">
        <v>526.27</v>
      </c>
      <c r="K141" t="s">
        <v>332</v>
      </c>
      <c r="L141" t="s">
        <v>236</v>
      </c>
      <c r="M141" t="s">
        <v>35</v>
      </c>
      <c r="N141">
        <v>501.21</v>
      </c>
      <c r="O141">
        <v>4.7618999999999998</v>
      </c>
      <c r="P141">
        <v>25.06</v>
      </c>
      <c r="Q141">
        <v>9.3000000000000007</v>
      </c>
      <c r="R141" s="8">
        <f t="shared" si="2"/>
        <v>43533</v>
      </c>
    </row>
    <row r="142" spans="1:18" x14ac:dyDescent="0.35">
      <c r="A142" t="s">
        <v>333</v>
      </c>
      <c r="B142" t="s">
        <v>68</v>
      </c>
      <c r="C142" t="s">
        <v>69</v>
      </c>
      <c r="D142" t="s">
        <v>27</v>
      </c>
      <c r="E142" t="s">
        <v>21</v>
      </c>
      <c r="F142" t="s">
        <v>54</v>
      </c>
      <c r="G142">
        <v>26.28</v>
      </c>
      <c r="H142">
        <v>10</v>
      </c>
      <c r="I142">
        <v>13.14</v>
      </c>
      <c r="J142">
        <v>275.94</v>
      </c>
      <c r="K142" t="s">
        <v>175</v>
      </c>
      <c r="L142" t="s">
        <v>334</v>
      </c>
      <c r="M142" t="s">
        <v>35</v>
      </c>
      <c r="N142">
        <v>262.8</v>
      </c>
      <c r="O142">
        <v>4.7618999999999998</v>
      </c>
      <c r="P142">
        <v>13.14</v>
      </c>
      <c r="Q142">
        <v>6.2</v>
      </c>
      <c r="R142" s="8">
        <f t="shared" si="2"/>
        <v>43487</v>
      </c>
    </row>
    <row r="143" spans="1:18" x14ac:dyDescent="0.35">
      <c r="A143" t="s">
        <v>335</v>
      </c>
      <c r="B143" t="s">
        <v>68</v>
      </c>
      <c r="C143" t="s">
        <v>69</v>
      </c>
      <c r="D143" t="s">
        <v>27</v>
      </c>
      <c r="E143" t="s">
        <v>42</v>
      </c>
      <c r="F143" t="s">
        <v>22</v>
      </c>
      <c r="G143">
        <v>80.540000000000006</v>
      </c>
      <c r="H143">
        <v>4</v>
      </c>
      <c r="I143">
        <v>16.11</v>
      </c>
      <c r="J143">
        <v>338.27</v>
      </c>
      <c r="K143" t="s">
        <v>336</v>
      </c>
      <c r="L143" t="s">
        <v>200</v>
      </c>
      <c r="M143" t="s">
        <v>35</v>
      </c>
      <c r="N143">
        <v>322.16000000000003</v>
      </c>
      <c r="O143">
        <v>4.7618999999999998</v>
      </c>
      <c r="P143">
        <v>16.11</v>
      </c>
      <c r="Q143">
        <v>9.4</v>
      </c>
      <c r="R143" s="8">
        <f t="shared" si="2"/>
        <v>43534</v>
      </c>
    </row>
    <row r="144" spans="1:18" x14ac:dyDescent="0.35">
      <c r="A144" t="s">
        <v>337</v>
      </c>
      <c r="B144" t="s">
        <v>37</v>
      </c>
      <c r="C144" t="s">
        <v>38</v>
      </c>
      <c r="D144" t="s">
        <v>27</v>
      </c>
      <c r="E144" t="s">
        <v>42</v>
      </c>
      <c r="F144" t="s">
        <v>61</v>
      </c>
      <c r="G144">
        <v>80.03</v>
      </c>
      <c r="H144">
        <v>9</v>
      </c>
      <c r="I144">
        <v>36.01</v>
      </c>
      <c r="J144">
        <v>756.28</v>
      </c>
      <c r="K144" t="s">
        <v>332</v>
      </c>
      <c r="L144" t="s">
        <v>267</v>
      </c>
      <c r="M144" t="s">
        <v>45</v>
      </c>
      <c r="N144">
        <v>720.27</v>
      </c>
      <c r="O144">
        <v>4.7618999999999998</v>
      </c>
      <c r="P144">
        <v>36.01</v>
      </c>
      <c r="Q144">
        <v>8.8000000000000007</v>
      </c>
      <c r="R144" s="8">
        <f t="shared" si="2"/>
        <v>43533</v>
      </c>
    </row>
    <row r="145" spans="1:18" x14ac:dyDescent="0.35">
      <c r="A145" t="s">
        <v>338</v>
      </c>
      <c r="B145" t="s">
        <v>37</v>
      </c>
      <c r="C145" t="s">
        <v>38</v>
      </c>
      <c r="D145" t="s">
        <v>20</v>
      </c>
      <c r="E145" t="s">
        <v>42</v>
      </c>
      <c r="F145" t="s">
        <v>61</v>
      </c>
      <c r="G145">
        <v>59.91</v>
      </c>
      <c r="H145">
        <v>2</v>
      </c>
      <c r="I145">
        <v>5.99</v>
      </c>
      <c r="J145">
        <v>125.81</v>
      </c>
      <c r="K145" t="s">
        <v>339</v>
      </c>
      <c r="L145" t="s">
        <v>137</v>
      </c>
      <c r="M145" t="s">
        <v>45</v>
      </c>
      <c r="N145">
        <v>119.82</v>
      </c>
      <c r="O145">
        <v>4.7618999999999998</v>
      </c>
      <c r="P145">
        <v>5.99</v>
      </c>
      <c r="Q145">
        <v>8.6</v>
      </c>
      <c r="R145" s="8">
        <f t="shared" si="2"/>
        <v>43532</v>
      </c>
    </row>
    <row r="146" spans="1:18" x14ac:dyDescent="0.35">
      <c r="A146" t="s">
        <v>340</v>
      </c>
      <c r="B146" t="s">
        <v>37</v>
      </c>
      <c r="C146" t="s">
        <v>38</v>
      </c>
      <c r="D146" t="s">
        <v>20</v>
      </c>
      <c r="E146" t="s">
        <v>42</v>
      </c>
      <c r="F146" t="s">
        <v>28</v>
      </c>
      <c r="G146">
        <v>95.18</v>
      </c>
      <c r="H146">
        <v>4</v>
      </c>
      <c r="I146">
        <v>19.04</v>
      </c>
      <c r="J146">
        <v>399.76</v>
      </c>
      <c r="K146" t="s">
        <v>322</v>
      </c>
      <c r="L146" t="s">
        <v>255</v>
      </c>
      <c r="M146" t="s">
        <v>35</v>
      </c>
      <c r="N146">
        <v>380.72</v>
      </c>
      <c r="O146">
        <v>4.7618999999999998</v>
      </c>
      <c r="P146">
        <v>19.04</v>
      </c>
      <c r="Q146">
        <v>4.3</v>
      </c>
      <c r="R146" s="8">
        <f t="shared" si="2"/>
        <v>43523</v>
      </c>
    </row>
    <row r="147" spans="1:18" x14ac:dyDescent="0.35">
      <c r="A147" t="s">
        <v>341</v>
      </c>
      <c r="B147" t="s">
        <v>37</v>
      </c>
      <c r="C147" t="s">
        <v>38</v>
      </c>
      <c r="D147" t="s">
        <v>20</v>
      </c>
      <c r="E147" t="s">
        <v>42</v>
      </c>
      <c r="F147" t="s">
        <v>28</v>
      </c>
      <c r="G147">
        <v>43.74</v>
      </c>
      <c r="H147">
        <v>1</v>
      </c>
      <c r="I147">
        <v>2.19</v>
      </c>
      <c r="J147">
        <v>45.93</v>
      </c>
      <c r="K147" t="s">
        <v>251</v>
      </c>
      <c r="L147" t="s">
        <v>342</v>
      </c>
      <c r="M147" t="s">
        <v>25</v>
      </c>
      <c r="N147">
        <v>43.74</v>
      </c>
      <c r="O147">
        <v>4.7618999999999998</v>
      </c>
      <c r="P147">
        <v>2.19</v>
      </c>
      <c r="Q147">
        <v>6</v>
      </c>
      <c r="R147" s="8">
        <f t="shared" si="2"/>
        <v>43506</v>
      </c>
    </row>
    <row r="148" spans="1:18" x14ac:dyDescent="0.35">
      <c r="A148" t="s">
        <v>343</v>
      </c>
      <c r="B148" t="s">
        <v>68</v>
      </c>
      <c r="C148" t="s">
        <v>69</v>
      </c>
      <c r="D148" t="s">
        <v>20</v>
      </c>
      <c r="E148" t="s">
        <v>42</v>
      </c>
      <c r="F148" t="s">
        <v>32</v>
      </c>
      <c r="G148">
        <v>72.650000000000006</v>
      </c>
      <c r="H148">
        <v>3</v>
      </c>
      <c r="I148">
        <v>10.9</v>
      </c>
      <c r="J148">
        <v>228.85</v>
      </c>
      <c r="K148" t="s">
        <v>226</v>
      </c>
      <c r="L148" t="s">
        <v>344</v>
      </c>
      <c r="M148" t="s">
        <v>45</v>
      </c>
      <c r="N148">
        <v>217.95</v>
      </c>
      <c r="O148">
        <v>4.7618999999999998</v>
      </c>
      <c r="P148">
        <v>10.9</v>
      </c>
      <c r="Q148">
        <v>9.4</v>
      </c>
      <c r="R148" s="8">
        <f t="shared" si="2"/>
        <v>43526</v>
      </c>
    </row>
    <row r="149" spans="1:18" x14ac:dyDescent="0.35">
      <c r="A149" t="s">
        <v>345</v>
      </c>
      <c r="B149" t="s">
        <v>37</v>
      </c>
      <c r="C149" t="s">
        <v>38</v>
      </c>
      <c r="D149" t="s">
        <v>20</v>
      </c>
      <c r="E149" t="s">
        <v>21</v>
      </c>
      <c r="F149" t="s">
        <v>50</v>
      </c>
      <c r="G149">
        <v>94.62</v>
      </c>
      <c r="H149">
        <v>10</v>
      </c>
      <c r="I149">
        <v>47.31</v>
      </c>
      <c r="J149">
        <v>993.51</v>
      </c>
      <c r="K149" t="s">
        <v>332</v>
      </c>
      <c r="L149" t="s">
        <v>277</v>
      </c>
      <c r="M149" t="s">
        <v>35</v>
      </c>
      <c r="N149">
        <v>946.2</v>
      </c>
      <c r="O149">
        <v>4.7618999999999998</v>
      </c>
      <c r="P149">
        <v>47.31</v>
      </c>
      <c r="Q149">
        <v>5.4</v>
      </c>
      <c r="R149" s="8">
        <f t="shared" si="2"/>
        <v>43533</v>
      </c>
    </row>
    <row r="150" spans="1:18" x14ac:dyDescent="0.35">
      <c r="A150" t="s">
        <v>346</v>
      </c>
      <c r="B150" t="s">
        <v>68</v>
      </c>
      <c r="C150" t="s">
        <v>69</v>
      </c>
      <c r="D150" t="s">
        <v>20</v>
      </c>
      <c r="E150" t="s">
        <v>42</v>
      </c>
      <c r="F150" t="s">
        <v>22</v>
      </c>
      <c r="G150">
        <v>81.45</v>
      </c>
      <c r="H150">
        <v>8</v>
      </c>
      <c r="I150">
        <v>32.58</v>
      </c>
      <c r="J150">
        <v>684.18</v>
      </c>
      <c r="K150" t="s">
        <v>167</v>
      </c>
      <c r="L150" t="s">
        <v>180</v>
      </c>
      <c r="M150" t="s">
        <v>25</v>
      </c>
      <c r="N150">
        <v>651.6</v>
      </c>
      <c r="O150">
        <v>4.7618999999999998</v>
      </c>
      <c r="P150">
        <v>32.58</v>
      </c>
      <c r="Q150">
        <v>7.2</v>
      </c>
      <c r="R150" s="8">
        <f t="shared" si="2"/>
        <v>43474</v>
      </c>
    </row>
    <row r="151" spans="1:18" x14ac:dyDescent="0.35">
      <c r="A151" t="s">
        <v>347</v>
      </c>
      <c r="B151" t="s">
        <v>18</v>
      </c>
      <c r="C151" t="s">
        <v>19</v>
      </c>
      <c r="D151" t="s">
        <v>20</v>
      </c>
      <c r="E151" t="s">
        <v>21</v>
      </c>
      <c r="F151" t="s">
        <v>61</v>
      </c>
      <c r="G151">
        <v>48.63</v>
      </c>
      <c r="H151">
        <v>10</v>
      </c>
      <c r="I151">
        <v>24.32</v>
      </c>
      <c r="J151">
        <v>510.62</v>
      </c>
      <c r="K151" t="s">
        <v>127</v>
      </c>
      <c r="L151" t="s">
        <v>348</v>
      </c>
      <c r="M151" t="s">
        <v>35</v>
      </c>
      <c r="N151">
        <v>486.3</v>
      </c>
      <c r="O151">
        <v>4.7618999999999998</v>
      </c>
      <c r="P151">
        <v>24.32</v>
      </c>
      <c r="Q151">
        <v>5.0999999999999996</v>
      </c>
      <c r="R151" s="8">
        <f t="shared" si="2"/>
        <v>43511</v>
      </c>
    </row>
    <row r="152" spans="1:18" x14ac:dyDescent="0.35">
      <c r="A152" t="s">
        <v>349</v>
      </c>
      <c r="B152" t="s">
        <v>68</v>
      </c>
      <c r="C152" t="s">
        <v>69</v>
      </c>
      <c r="D152" t="s">
        <v>27</v>
      </c>
      <c r="E152" t="s">
        <v>21</v>
      </c>
      <c r="F152" t="s">
        <v>50</v>
      </c>
      <c r="G152">
        <v>58.97</v>
      </c>
      <c r="H152">
        <v>9</v>
      </c>
      <c r="I152">
        <v>26.54</v>
      </c>
      <c r="J152">
        <v>557.27</v>
      </c>
      <c r="K152" t="s">
        <v>116</v>
      </c>
      <c r="L152" t="s">
        <v>350</v>
      </c>
      <c r="M152" t="s">
        <v>35</v>
      </c>
      <c r="N152">
        <v>530.73</v>
      </c>
      <c r="O152">
        <v>4.7618999999999998</v>
      </c>
      <c r="P152">
        <v>26.54</v>
      </c>
      <c r="Q152">
        <v>4.3</v>
      </c>
      <c r="R152" s="8">
        <f t="shared" si="2"/>
        <v>43536</v>
      </c>
    </row>
    <row r="153" spans="1:18" x14ac:dyDescent="0.35">
      <c r="A153" t="s">
        <v>351</v>
      </c>
      <c r="B153" t="s">
        <v>37</v>
      </c>
      <c r="C153" t="s">
        <v>38</v>
      </c>
      <c r="D153" t="s">
        <v>27</v>
      </c>
      <c r="E153" t="s">
        <v>21</v>
      </c>
      <c r="F153" t="s">
        <v>61</v>
      </c>
      <c r="G153">
        <v>80.97</v>
      </c>
      <c r="H153">
        <v>6</v>
      </c>
      <c r="I153">
        <v>24.29</v>
      </c>
      <c r="J153">
        <v>510.11</v>
      </c>
      <c r="K153" t="s">
        <v>164</v>
      </c>
      <c r="L153" t="s">
        <v>352</v>
      </c>
      <c r="M153" t="s">
        <v>45</v>
      </c>
      <c r="N153">
        <v>485.82</v>
      </c>
      <c r="O153">
        <v>4.7618999999999998</v>
      </c>
      <c r="P153">
        <v>24.29</v>
      </c>
      <c r="Q153">
        <v>8.6</v>
      </c>
      <c r="R153" s="8">
        <f t="shared" si="2"/>
        <v>43496</v>
      </c>
    </row>
    <row r="154" spans="1:18" x14ac:dyDescent="0.35">
      <c r="A154" t="s">
        <v>353</v>
      </c>
      <c r="B154" t="s">
        <v>37</v>
      </c>
      <c r="C154" t="s">
        <v>38</v>
      </c>
      <c r="D154" t="s">
        <v>20</v>
      </c>
      <c r="E154" t="s">
        <v>21</v>
      </c>
      <c r="F154" t="s">
        <v>61</v>
      </c>
      <c r="G154">
        <v>59.14</v>
      </c>
      <c r="H154">
        <v>3</v>
      </c>
      <c r="I154">
        <v>8.8699999999999992</v>
      </c>
      <c r="J154">
        <v>186.29</v>
      </c>
      <c r="K154" t="s">
        <v>295</v>
      </c>
      <c r="L154" t="s">
        <v>152</v>
      </c>
      <c r="M154" t="s">
        <v>35</v>
      </c>
      <c r="N154">
        <v>177.42</v>
      </c>
      <c r="O154">
        <v>4.7618999999999998</v>
      </c>
      <c r="P154">
        <v>8.8699999999999992</v>
      </c>
      <c r="Q154">
        <v>7.8</v>
      </c>
      <c r="R154" s="8">
        <f t="shared" si="2"/>
        <v>43553</v>
      </c>
    </row>
    <row r="155" spans="1:18" x14ac:dyDescent="0.35">
      <c r="A155" t="s">
        <v>354</v>
      </c>
      <c r="B155" t="s">
        <v>68</v>
      </c>
      <c r="C155" t="s">
        <v>69</v>
      </c>
      <c r="D155" t="s">
        <v>20</v>
      </c>
      <c r="E155" t="s">
        <v>42</v>
      </c>
      <c r="F155" t="s">
        <v>28</v>
      </c>
      <c r="G155">
        <v>36.409999999999997</v>
      </c>
      <c r="H155">
        <v>1</v>
      </c>
      <c r="I155">
        <v>1.82</v>
      </c>
      <c r="J155">
        <v>38.229999999999997</v>
      </c>
      <c r="K155" t="s">
        <v>133</v>
      </c>
      <c r="L155" t="s">
        <v>284</v>
      </c>
      <c r="M155" t="s">
        <v>35</v>
      </c>
      <c r="N155">
        <v>36.409999999999997</v>
      </c>
      <c r="O155">
        <v>4.7618999999999998</v>
      </c>
      <c r="P155">
        <v>1.82</v>
      </c>
      <c r="Q155">
        <v>7.1</v>
      </c>
      <c r="R155" s="8">
        <f t="shared" si="2"/>
        <v>43491</v>
      </c>
    </row>
    <row r="156" spans="1:18" x14ac:dyDescent="0.35">
      <c r="A156" t="s">
        <v>355</v>
      </c>
      <c r="B156" t="s">
        <v>18</v>
      </c>
      <c r="C156" t="s">
        <v>19</v>
      </c>
      <c r="D156" t="s">
        <v>27</v>
      </c>
      <c r="E156" t="s">
        <v>42</v>
      </c>
      <c r="F156" t="s">
        <v>28</v>
      </c>
      <c r="G156">
        <v>77.8</v>
      </c>
      <c r="H156">
        <v>4</v>
      </c>
      <c r="I156">
        <v>15.56</v>
      </c>
      <c r="J156">
        <v>326.76</v>
      </c>
      <c r="K156" t="s">
        <v>216</v>
      </c>
      <c r="L156" t="s">
        <v>255</v>
      </c>
      <c r="M156" t="s">
        <v>25</v>
      </c>
      <c r="N156">
        <v>311.2</v>
      </c>
      <c r="O156">
        <v>4.7618999999999998</v>
      </c>
      <c r="P156">
        <v>15.56</v>
      </c>
      <c r="Q156">
        <v>6</v>
      </c>
      <c r="R156" s="8">
        <f t="shared" si="2"/>
        <v>43502</v>
      </c>
    </row>
    <row r="157" spans="1:18" x14ac:dyDescent="0.35">
      <c r="A157" t="s">
        <v>356</v>
      </c>
      <c r="B157" t="s">
        <v>37</v>
      </c>
      <c r="C157" t="s">
        <v>38</v>
      </c>
      <c r="D157" t="s">
        <v>27</v>
      </c>
      <c r="E157" t="s">
        <v>42</v>
      </c>
      <c r="F157" t="s">
        <v>22</v>
      </c>
      <c r="G157">
        <v>49.58</v>
      </c>
      <c r="H157">
        <v>7</v>
      </c>
      <c r="I157">
        <v>17.350000000000001</v>
      </c>
      <c r="J157">
        <v>364.41</v>
      </c>
      <c r="K157" t="s">
        <v>240</v>
      </c>
      <c r="L157" t="s">
        <v>71</v>
      </c>
      <c r="M157" t="s">
        <v>25</v>
      </c>
      <c r="N157">
        <v>347.06</v>
      </c>
      <c r="O157">
        <v>4.7618999999999998</v>
      </c>
      <c r="P157">
        <v>17.350000000000001</v>
      </c>
      <c r="Q157">
        <v>7</v>
      </c>
      <c r="R157" s="8">
        <f t="shared" si="2"/>
        <v>43509</v>
      </c>
    </row>
    <row r="158" spans="1:18" x14ac:dyDescent="0.35">
      <c r="A158" t="s">
        <v>357</v>
      </c>
      <c r="B158" t="s">
        <v>18</v>
      </c>
      <c r="C158" t="s">
        <v>19</v>
      </c>
      <c r="D158" t="s">
        <v>27</v>
      </c>
      <c r="E158" t="s">
        <v>21</v>
      </c>
      <c r="F158" t="s">
        <v>22</v>
      </c>
      <c r="G158">
        <v>48.2</v>
      </c>
      <c r="H158">
        <v>7</v>
      </c>
      <c r="I158">
        <v>16.87</v>
      </c>
      <c r="J158">
        <v>354.27</v>
      </c>
      <c r="K158" t="s">
        <v>39</v>
      </c>
      <c r="L158" t="s">
        <v>358</v>
      </c>
      <c r="M158" t="s">
        <v>35</v>
      </c>
      <c r="N158">
        <v>337.4</v>
      </c>
      <c r="O158">
        <v>4.7618999999999998</v>
      </c>
      <c r="P158">
        <v>16.87</v>
      </c>
      <c r="Q158">
        <v>5.9</v>
      </c>
      <c r="R158" s="8">
        <f t="shared" si="2"/>
        <v>43543</v>
      </c>
    </row>
    <row r="159" spans="1:18" x14ac:dyDescent="0.35">
      <c r="A159" t="s">
        <v>359</v>
      </c>
      <c r="B159" t="s">
        <v>37</v>
      </c>
      <c r="C159" t="s">
        <v>38</v>
      </c>
      <c r="D159" t="s">
        <v>27</v>
      </c>
      <c r="E159" t="s">
        <v>42</v>
      </c>
      <c r="F159" t="s">
        <v>32</v>
      </c>
      <c r="G159">
        <v>64.239999999999995</v>
      </c>
      <c r="H159">
        <v>7</v>
      </c>
      <c r="I159">
        <v>22.48</v>
      </c>
      <c r="J159">
        <v>472.16</v>
      </c>
      <c r="K159" t="s">
        <v>175</v>
      </c>
      <c r="L159" t="s">
        <v>134</v>
      </c>
      <c r="M159" t="s">
        <v>35</v>
      </c>
      <c r="N159">
        <v>449.68</v>
      </c>
      <c r="O159">
        <v>4.7618999999999998</v>
      </c>
      <c r="P159">
        <v>22.48</v>
      </c>
      <c r="Q159">
        <v>4.3</v>
      </c>
      <c r="R159" s="8">
        <f t="shared" si="2"/>
        <v>43487</v>
      </c>
    </row>
    <row r="160" spans="1:18" x14ac:dyDescent="0.35">
      <c r="A160" t="s">
        <v>360</v>
      </c>
      <c r="B160" t="s">
        <v>37</v>
      </c>
      <c r="C160" t="s">
        <v>38</v>
      </c>
      <c r="D160" t="s">
        <v>27</v>
      </c>
      <c r="E160" t="s">
        <v>42</v>
      </c>
      <c r="F160" t="s">
        <v>22</v>
      </c>
      <c r="G160">
        <v>98.2</v>
      </c>
      <c r="H160">
        <v>1</v>
      </c>
      <c r="I160">
        <v>4.91</v>
      </c>
      <c r="J160">
        <v>103.11</v>
      </c>
      <c r="K160" t="s">
        <v>85</v>
      </c>
      <c r="L160" t="s">
        <v>352</v>
      </c>
      <c r="M160" t="s">
        <v>35</v>
      </c>
      <c r="N160">
        <v>98.2</v>
      </c>
      <c r="O160">
        <v>4.7618999999999998</v>
      </c>
      <c r="P160">
        <v>4.91</v>
      </c>
      <c r="Q160">
        <v>6.2</v>
      </c>
      <c r="R160" s="8">
        <f t="shared" si="2"/>
        <v>43475</v>
      </c>
    </row>
    <row r="161" spans="1:18" x14ac:dyDescent="0.35">
      <c r="A161" t="s">
        <v>361</v>
      </c>
      <c r="B161" t="s">
        <v>18</v>
      </c>
      <c r="C161" t="s">
        <v>19</v>
      </c>
      <c r="D161" t="s">
        <v>20</v>
      </c>
      <c r="E161" t="s">
        <v>21</v>
      </c>
      <c r="F161" t="s">
        <v>54</v>
      </c>
      <c r="G161">
        <v>86.38</v>
      </c>
      <c r="H161">
        <v>8</v>
      </c>
      <c r="I161">
        <v>34.549999999999997</v>
      </c>
      <c r="J161">
        <v>725.59</v>
      </c>
      <c r="K161" t="s">
        <v>231</v>
      </c>
      <c r="L161" t="s">
        <v>219</v>
      </c>
      <c r="M161" t="s">
        <v>45</v>
      </c>
      <c r="N161">
        <v>691.04</v>
      </c>
      <c r="O161">
        <v>4.7618999999999998</v>
      </c>
      <c r="P161">
        <v>34.549999999999997</v>
      </c>
      <c r="Q161">
        <v>8.6999999999999993</v>
      </c>
      <c r="R161" s="8">
        <f t="shared" si="2"/>
        <v>43470</v>
      </c>
    </row>
    <row r="162" spans="1:18" x14ac:dyDescent="0.35">
      <c r="A162" t="s">
        <v>362</v>
      </c>
      <c r="B162" t="s">
        <v>37</v>
      </c>
      <c r="C162" t="s">
        <v>38</v>
      </c>
      <c r="D162" t="s">
        <v>27</v>
      </c>
      <c r="E162" t="s">
        <v>21</v>
      </c>
      <c r="F162" t="s">
        <v>50</v>
      </c>
      <c r="G162">
        <v>23.81</v>
      </c>
      <c r="H162">
        <v>8</v>
      </c>
      <c r="I162">
        <v>9.52</v>
      </c>
      <c r="J162">
        <v>200</v>
      </c>
      <c r="K162" t="s">
        <v>320</v>
      </c>
      <c r="L162" t="s">
        <v>160</v>
      </c>
      <c r="M162" t="s">
        <v>45</v>
      </c>
      <c r="N162">
        <v>190.48</v>
      </c>
      <c r="O162">
        <v>4.7618999999999998</v>
      </c>
      <c r="P162">
        <v>9.52</v>
      </c>
      <c r="Q162">
        <v>7.4</v>
      </c>
      <c r="R162" s="8">
        <f t="shared" si="2"/>
        <v>43513</v>
      </c>
    </row>
    <row r="163" spans="1:18" x14ac:dyDescent="0.35">
      <c r="A163" t="s">
        <v>363</v>
      </c>
      <c r="B163" t="s">
        <v>37</v>
      </c>
      <c r="C163" t="s">
        <v>38</v>
      </c>
      <c r="D163" t="s">
        <v>27</v>
      </c>
      <c r="E163" t="s">
        <v>42</v>
      </c>
      <c r="F163" t="s">
        <v>22</v>
      </c>
      <c r="G163">
        <v>35.08</v>
      </c>
      <c r="H163">
        <v>2</v>
      </c>
      <c r="I163">
        <v>3.51</v>
      </c>
      <c r="J163">
        <v>73.67</v>
      </c>
      <c r="K163" t="s">
        <v>223</v>
      </c>
      <c r="L163" t="s">
        <v>71</v>
      </c>
      <c r="M163" t="s">
        <v>25</v>
      </c>
      <c r="N163">
        <v>70.16</v>
      </c>
      <c r="O163">
        <v>4.7618999999999998</v>
      </c>
      <c r="P163">
        <v>3.51</v>
      </c>
      <c r="Q163">
        <v>6.3</v>
      </c>
      <c r="R163" s="8">
        <f t="shared" si="2"/>
        <v>43469</v>
      </c>
    </row>
    <row r="164" spans="1:18" x14ac:dyDescent="0.35">
      <c r="A164" t="s">
        <v>364</v>
      </c>
      <c r="B164" t="s">
        <v>68</v>
      </c>
      <c r="C164" t="s">
        <v>69</v>
      </c>
      <c r="D164" t="s">
        <v>27</v>
      </c>
      <c r="E164" t="s">
        <v>42</v>
      </c>
      <c r="F164" t="s">
        <v>22</v>
      </c>
      <c r="G164">
        <v>50.16</v>
      </c>
      <c r="H164">
        <v>10</v>
      </c>
      <c r="I164">
        <v>25.08</v>
      </c>
      <c r="J164">
        <v>526.67999999999995</v>
      </c>
      <c r="K164" t="s">
        <v>216</v>
      </c>
      <c r="L164" t="s">
        <v>194</v>
      </c>
      <c r="M164" t="s">
        <v>45</v>
      </c>
      <c r="N164">
        <v>501.6</v>
      </c>
      <c r="O164">
        <v>4.7618999999999998</v>
      </c>
      <c r="P164">
        <v>25.08</v>
      </c>
      <c r="Q164">
        <v>4.8</v>
      </c>
      <c r="R164" s="8">
        <f t="shared" si="2"/>
        <v>43502</v>
      </c>
    </row>
    <row r="165" spans="1:18" x14ac:dyDescent="0.35">
      <c r="A165" t="s">
        <v>365</v>
      </c>
      <c r="B165" t="s">
        <v>37</v>
      </c>
      <c r="C165" t="s">
        <v>38</v>
      </c>
      <c r="D165" t="s">
        <v>20</v>
      </c>
      <c r="E165" t="s">
        <v>42</v>
      </c>
      <c r="F165" t="s">
        <v>28</v>
      </c>
      <c r="G165">
        <v>82.95</v>
      </c>
      <c r="H165">
        <v>6</v>
      </c>
      <c r="I165">
        <v>24.89</v>
      </c>
      <c r="J165">
        <v>522.59</v>
      </c>
      <c r="K165" t="s">
        <v>109</v>
      </c>
      <c r="L165" t="s">
        <v>246</v>
      </c>
      <c r="M165" t="s">
        <v>45</v>
      </c>
      <c r="N165">
        <v>497.7</v>
      </c>
      <c r="O165">
        <v>4.7618999999999998</v>
      </c>
      <c r="P165">
        <v>24.89</v>
      </c>
      <c r="Q165">
        <v>7.3</v>
      </c>
      <c r="R165" s="8">
        <f t="shared" si="2"/>
        <v>43551</v>
      </c>
    </row>
    <row r="166" spans="1:18" x14ac:dyDescent="0.35">
      <c r="A166" t="s">
        <v>366</v>
      </c>
      <c r="B166" t="s">
        <v>37</v>
      </c>
      <c r="C166" t="s">
        <v>38</v>
      </c>
      <c r="D166" t="s">
        <v>20</v>
      </c>
      <c r="E166" t="s">
        <v>21</v>
      </c>
      <c r="F166" t="s">
        <v>61</v>
      </c>
      <c r="G166">
        <v>55.79</v>
      </c>
      <c r="H166">
        <v>2</v>
      </c>
      <c r="I166">
        <v>5.58</v>
      </c>
      <c r="J166">
        <v>117.16</v>
      </c>
      <c r="K166" t="s">
        <v>133</v>
      </c>
      <c r="L166" t="s">
        <v>148</v>
      </c>
      <c r="M166" t="s">
        <v>35</v>
      </c>
      <c r="N166">
        <v>111.58</v>
      </c>
      <c r="O166">
        <v>4.7618999999999998</v>
      </c>
      <c r="P166">
        <v>5.58</v>
      </c>
      <c r="Q166">
        <v>4.2</v>
      </c>
      <c r="R166" s="8">
        <f t="shared" si="2"/>
        <v>43491</v>
      </c>
    </row>
    <row r="167" spans="1:18" x14ac:dyDescent="0.35">
      <c r="A167" t="s">
        <v>367</v>
      </c>
      <c r="B167" t="s">
        <v>18</v>
      </c>
      <c r="C167" t="s">
        <v>19</v>
      </c>
      <c r="D167" t="s">
        <v>27</v>
      </c>
      <c r="E167" t="s">
        <v>42</v>
      </c>
      <c r="F167" t="s">
        <v>50</v>
      </c>
      <c r="G167">
        <v>21.68</v>
      </c>
      <c r="H167">
        <v>2</v>
      </c>
      <c r="I167">
        <v>2.17</v>
      </c>
      <c r="J167">
        <v>45.53</v>
      </c>
      <c r="K167" t="s">
        <v>167</v>
      </c>
      <c r="L167" t="s">
        <v>368</v>
      </c>
      <c r="M167" t="s">
        <v>25</v>
      </c>
      <c r="N167">
        <v>43.36</v>
      </c>
      <c r="O167">
        <v>4.7618999999999998</v>
      </c>
      <c r="P167">
        <v>2.17</v>
      </c>
      <c r="Q167">
        <v>8.3000000000000007</v>
      </c>
      <c r="R167" s="8">
        <f t="shared" si="2"/>
        <v>43474</v>
      </c>
    </row>
    <row r="168" spans="1:18" x14ac:dyDescent="0.35">
      <c r="A168" t="s">
        <v>369</v>
      </c>
      <c r="B168" t="s">
        <v>37</v>
      </c>
      <c r="C168" t="s">
        <v>38</v>
      </c>
      <c r="D168" t="s">
        <v>27</v>
      </c>
      <c r="E168" t="s">
        <v>21</v>
      </c>
      <c r="F168" t="s">
        <v>54</v>
      </c>
      <c r="G168">
        <v>97.51</v>
      </c>
      <c r="H168">
        <v>2</v>
      </c>
      <c r="I168">
        <v>9.75</v>
      </c>
      <c r="J168">
        <v>204.77</v>
      </c>
      <c r="K168" t="s">
        <v>322</v>
      </c>
      <c r="L168" t="s">
        <v>370</v>
      </c>
      <c r="M168" t="s">
        <v>25</v>
      </c>
      <c r="N168">
        <v>195.02</v>
      </c>
      <c r="O168">
        <v>4.7618999999999998</v>
      </c>
      <c r="P168">
        <v>9.75</v>
      </c>
      <c r="Q168">
        <v>6.1</v>
      </c>
      <c r="R168" s="8">
        <f t="shared" si="2"/>
        <v>43523</v>
      </c>
    </row>
    <row r="169" spans="1:18" x14ac:dyDescent="0.35">
      <c r="A169" t="s">
        <v>371</v>
      </c>
      <c r="B169" t="s">
        <v>18</v>
      </c>
      <c r="C169" t="s">
        <v>19</v>
      </c>
      <c r="D169" t="s">
        <v>20</v>
      </c>
      <c r="E169" t="s">
        <v>21</v>
      </c>
      <c r="F169" t="s">
        <v>32</v>
      </c>
      <c r="G169">
        <v>55.26</v>
      </c>
      <c r="H169">
        <v>1</v>
      </c>
      <c r="I169">
        <v>2.76</v>
      </c>
      <c r="J169">
        <v>58.02</v>
      </c>
      <c r="K169" t="s">
        <v>187</v>
      </c>
      <c r="L169" t="s">
        <v>372</v>
      </c>
      <c r="M169" t="s">
        <v>35</v>
      </c>
      <c r="N169">
        <v>55.26</v>
      </c>
      <c r="O169">
        <v>4.7618999999999998</v>
      </c>
      <c r="P169">
        <v>2.76</v>
      </c>
      <c r="Q169">
        <v>5</v>
      </c>
      <c r="R169" s="8">
        <f t="shared" si="2"/>
        <v>43481</v>
      </c>
    </row>
    <row r="170" spans="1:18" x14ac:dyDescent="0.35">
      <c r="A170" t="s">
        <v>373</v>
      </c>
      <c r="B170" t="s">
        <v>18</v>
      </c>
      <c r="C170" t="s">
        <v>19</v>
      </c>
      <c r="D170" t="s">
        <v>20</v>
      </c>
      <c r="E170" t="s">
        <v>42</v>
      </c>
      <c r="F170" t="s">
        <v>50</v>
      </c>
      <c r="G170">
        <v>90.54</v>
      </c>
      <c r="H170">
        <v>2</v>
      </c>
      <c r="I170">
        <v>9.0500000000000007</v>
      </c>
      <c r="J170">
        <v>190.13</v>
      </c>
      <c r="K170" t="s">
        <v>179</v>
      </c>
      <c r="L170" t="s">
        <v>162</v>
      </c>
      <c r="M170" t="s">
        <v>25</v>
      </c>
      <c r="N170">
        <v>181.08</v>
      </c>
      <c r="O170">
        <v>4.7618999999999998</v>
      </c>
      <c r="P170">
        <v>9.0500000000000007</v>
      </c>
      <c r="Q170">
        <v>5.6</v>
      </c>
      <c r="R170" s="8">
        <f t="shared" si="2"/>
        <v>43498</v>
      </c>
    </row>
    <row r="171" spans="1:18" x14ac:dyDescent="0.35">
      <c r="A171" t="s">
        <v>374</v>
      </c>
      <c r="B171" t="s">
        <v>37</v>
      </c>
      <c r="C171" t="s">
        <v>38</v>
      </c>
      <c r="D171" t="s">
        <v>20</v>
      </c>
      <c r="E171" t="s">
        <v>21</v>
      </c>
      <c r="F171" t="s">
        <v>50</v>
      </c>
      <c r="G171">
        <v>94.74</v>
      </c>
      <c r="H171">
        <v>3</v>
      </c>
      <c r="I171">
        <v>14.21</v>
      </c>
      <c r="J171">
        <v>298.43</v>
      </c>
      <c r="K171" t="s">
        <v>175</v>
      </c>
      <c r="L171" t="s">
        <v>375</v>
      </c>
      <c r="M171" t="s">
        <v>25</v>
      </c>
      <c r="N171">
        <v>284.22000000000003</v>
      </c>
      <c r="O171">
        <v>4.7618999999999998</v>
      </c>
      <c r="P171">
        <v>14.21</v>
      </c>
      <c r="Q171">
        <v>9.4</v>
      </c>
      <c r="R171" s="8">
        <f t="shared" si="2"/>
        <v>43487</v>
      </c>
    </row>
    <row r="172" spans="1:18" x14ac:dyDescent="0.35">
      <c r="A172" t="s">
        <v>376</v>
      </c>
      <c r="B172" t="s">
        <v>18</v>
      </c>
      <c r="C172" t="s">
        <v>19</v>
      </c>
      <c r="D172" t="s">
        <v>20</v>
      </c>
      <c r="E172" t="s">
        <v>21</v>
      </c>
      <c r="F172" t="s">
        <v>28</v>
      </c>
      <c r="G172">
        <v>14.09</v>
      </c>
      <c r="H172">
        <v>10</v>
      </c>
      <c r="I172">
        <v>7.05</v>
      </c>
      <c r="J172">
        <v>147.94999999999999</v>
      </c>
      <c r="K172" t="s">
        <v>99</v>
      </c>
      <c r="L172" t="s">
        <v>377</v>
      </c>
      <c r="M172" t="s">
        <v>25</v>
      </c>
      <c r="N172">
        <v>140.9</v>
      </c>
      <c r="O172">
        <v>4.7618999999999998</v>
      </c>
      <c r="P172">
        <v>7.05</v>
      </c>
      <c r="Q172">
        <v>6.5</v>
      </c>
      <c r="R172" s="8">
        <f t="shared" si="2"/>
        <v>43499</v>
      </c>
    </row>
    <row r="173" spans="1:18" x14ac:dyDescent="0.35">
      <c r="A173" t="s">
        <v>378</v>
      </c>
      <c r="B173" t="s">
        <v>68</v>
      </c>
      <c r="C173" t="s">
        <v>69</v>
      </c>
      <c r="D173" t="s">
        <v>27</v>
      </c>
      <c r="E173" t="s">
        <v>42</v>
      </c>
      <c r="F173" t="s">
        <v>22</v>
      </c>
      <c r="G173">
        <v>96.1</v>
      </c>
      <c r="H173">
        <v>8</v>
      </c>
      <c r="I173">
        <v>38.44</v>
      </c>
      <c r="J173">
        <v>807.24</v>
      </c>
      <c r="K173" t="s">
        <v>182</v>
      </c>
      <c r="L173" t="s">
        <v>119</v>
      </c>
      <c r="M173" t="s">
        <v>35</v>
      </c>
      <c r="N173">
        <v>768.8</v>
      </c>
      <c r="O173">
        <v>4.7618999999999998</v>
      </c>
      <c r="P173">
        <v>38.44</v>
      </c>
      <c r="Q173">
        <v>6.7</v>
      </c>
      <c r="R173" s="8">
        <f t="shared" si="2"/>
        <v>43497</v>
      </c>
    </row>
    <row r="174" spans="1:18" x14ac:dyDescent="0.35">
      <c r="A174" t="s">
        <v>379</v>
      </c>
      <c r="B174" t="s">
        <v>68</v>
      </c>
      <c r="C174" t="s">
        <v>69</v>
      </c>
      <c r="D174" t="s">
        <v>20</v>
      </c>
      <c r="E174" t="s">
        <v>42</v>
      </c>
      <c r="F174" t="s">
        <v>32</v>
      </c>
      <c r="G174">
        <v>53.58</v>
      </c>
      <c r="H174">
        <v>4</v>
      </c>
      <c r="I174">
        <v>10.72</v>
      </c>
      <c r="J174">
        <v>225.04</v>
      </c>
      <c r="K174" t="s">
        <v>240</v>
      </c>
      <c r="L174" t="s">
        <v>380</v>
      </c>
      <c r="M174" t="s">
        <v>35</v>
      </c>
      <c r="N174">
        <v>214.32</v>
      </c>
      <c r="O174">
        <v>4.7618999999999998</v>
      </c>
      <c r="P174">
        <v>10.72</v>
      </c>
      <c r="Q174">
        <v>9.1999999999999993</v>
      </c>
      <c r="R174" s="8">
        <f t="shared" si="2"/>
        <v>43509</v>
      </c>
    </row>
    <row r="175" spans="1:18" x14ac:dyDescent="0.35">
      <c r="A175" t="s">
        <v>381</v>
      </c>
      <c r="B175" t="s">
        <v>18</v>
      </c>
      <c r="C175" t="s">
        <v>19</v>
      </c>
      <c r="D175" t="s">
        <v>27</v>
      </c>
      <c r="E175" t="s">
        <v>42</v>
      </c>
      <c r="F175" t="s">
        <v>54</v>
      </c>
      <c r="G175">
        <v>78.459999999999994</v>
      </c>
      <c r="H175">
        <v>9</v>
      </c>
      <c r="I175">
        <v>35.31</v>
      </c>
      <c r="J175">
        <v>741.45</v>
      </c>
      <c r="K175" t="s">
        <v>121</v>
      </c>
      <c r="L175" t="s">
        <v>382</v>
      </c>
      <c r="M175" t="s">
        <v>45</v>
      </c>
      <c r="N175">
        <v>706.14</v>
      </c>
      <c r="O175">
        <v>4.7618999999999998</v>
      </c>
      <c r="P175">
        <v>35.31</v>
      </c>
      <c r="Q175">
        <v>6.8</v>
      </c>
      <c r="R175" s="8">
        <f t="shared" si="2"/>
        <v>43537</v>
      </c>
    </row>
    <row r="176" spans="1:18" x14ac:dyDescent="0.35">
      <c r="A176" t="s">
        <v>383</v>
      </c>
      <c r="B176" t="s">
        <v>37</v>
      </c>
      <c r="C176" t="s">
        <v>38</v>
      </c>
      <c r="D176" t="s">
        <v>20</v>
      </c>
      <c r="E176" t="s">
        <v>21</v>
      </c>
      <c r="F176" t="s">
        <v>28</v>
      </c>
      <c r="G176">
        <v>14.55</v>
      </c>
      <c r="H176">
        <v>7</v>
      </c>
      <c r="I176">
        <v>5.09</v>
      </c>
      <c r="J176">
        <v>106.94</v>
      </c>
      <c r="K176" t="s">
        <v>191</v>
      </c>
      <c r="L176" t="s">
        <v>384</v>
      </c>
      <c r="M176" t="s">
        <v>45</v>
      </c>
      <c r="N176">
        <v>101.85</v>
      </c>
      <c r="O176">
        <v>4.7618999999999998</v>
      </c>
      <c r="P176">
        <v>5.09</v>
      </c>
      <c r="Q176">
        <v>8.9</v>
      </c>
      <c r="R176" s="8">
        <f t="shared" si="2"/>
        <v>43544</v>
      </c>
    </row>
    <row r="177" spans="1:18" x14ac:dyDescent="0.35">
      <c r="A177" t="s">
        <v>385</v>
      </c>
      <c r="B177" t="s">
        <v>18</v>
      </c>
      <c r="C177" t="s">
        <v>19</v>
      </c>
      <c r="D177" t="s">
        <v>27</v>
      </c>
      <c r="E177" t="s">
        <v>21</v>
      </c>
      <c r="F177" t="s">
        <v>54</v>
      </c>
      <c r="G177">
        <v>54.84</v>
      </c>
      <c r="H177">
        <v>9</v>
      </c>
      <c r="I177">
        <v>24.68</v>
      </c>
      <c r="J177">
        <v>518.24</v>
      </c>
      <c r="K177" t="s">
        <v>51</v>
      </c>
      <c r="L177" t="s">
        <v>100</v>
      </c>
      <c r="M177" t="s">
        <v>35</v>
      </c>
      <c r="N177">
        <v>493.56</v>
      </c>
      <c r="O177">
        <v>4.7618999999999998</v>
      </c>
      <c r="P177">
        <v>24.68</v>
      </c>
      <c r="Q177">
        <v>4.0999999999999996</v>
      </c>
      <c r="R177" s="8">
        <f t="shared" si="2"/>
        <v>43525</v>
      </c>
    </row>
    <row r="178" spans="1:18" x14ac:dyDescent="0.35">
      <c r="A178" t="s">
        <v>386</v>
      </c>
      <c r="B178" t="s">
        <v>18</v>
      </c>
      <c r="C178" t="s">
        <v>19</v>
      </c>
      <c r="D178" t="s">
        <v>27</v>
      </c>
      <c r="E178" t="s">
        <v>21</v>
      </c>
      <c r="F178" t="s">
        <v>54</v>
      </c>
      <c r="G178">
        <v>62.5</v>
      </c>
      <c r="H178">
        <v>1</v>
      </c>
      <c r="I178">
        <v>3.12</v>
      </c>
      <c r="J178">
        <v>65.62</v>
      </c>
      <c r="K178" t="s">
        <v>387</v>
      </c>
      <c r="L178" t="s">
        <v>94</v>
      </c>
      <c r="M178" t="s">
        <v>25</v>
      </c>
      <c r="N178">
        <v>62.5</v>
      </c>
      <c r="O178">
        <v>4.7618999999999998</v>
      </c>
      <c r="P178">
        <v>3.12</v>
      </c>
      <c r="Q178">
        <v>9.3000000000000007</v>
      </c>
      <c r="R178" s="8">
        <f t="shared" si="2"/>
        <v>43472</v>
      </c>
    </row>
    <row r="179" spans="1:18" x14ac:dyDescent="0.35">
      <c r="A179" t="s">
        <v>388</v>
      </c>
      <c r="B179" t="s">
        <v>18</v>
      </c>
      <c r="C179" t="s">
        <v>19</v>
      </c>
      <c r="D179" t="s">
        <v>27</v>
      </c>
      <c r="E179" t="s">
        <v>42</v>
      </c>
      <c r="F179" t="s">
        <v>50</v>
      </c>
      <c r="G179">
        <v>10.74</v>
      </c>
      <c r="H179">
        <v>2</v>
      </c>
      <c r="I179">
        <v>1.07</v>
      </c>
      <c r="J179">
        <v>22.55</v>
      </c>
      <c r="K179" t="s">
        <v>70</v>
      </c>
      <c r="L179" t="s">
        <v>117</v>
      </c>
      <c r="M179" t="s">
        <v>25</v>
      </c>
      <c r="N179">
        <v>21.48</v>
      </c>
      <c r="O179">
        <v>4.7618999999999998</v>
      </c>
      <c r="P179">
        <v>1.07</v>
      </c>
      <c r="Q179">
        <v>6.2</v>
      </c>
      <c r="R179" s="8">
        <f t="shared" si="2"/>
        <v>43521</v>
      </c>
    </row>
    <row r="180" spans="1:18" x14ac:dyDescent="0.35">
      <c r="A180" t="s">
        <v>389</v>
      </c>
      <c r="B180" t="s">
        <v>37</v>
      </c>
      <c r="C180" t="s">
        <v>38</v>
      </c>
      <c r="D180" t="s">
        <v>20</v>
      </c>
      <c r="E180" t="s">
        <v>42</v>
      </c>
      <c r="F180" t="s">
        <v>28</v>
      </c>
      <c r="G180">
        <v>61.33</v>
      </c>
      <c r="H180">
        <v>4</v>
      </c>
      <c r="I180">
        <v>12.27</v>
      </c>
      <c r="J180">
        <v>257.58999999999997</v>
      </c>
      <c r="K180" t="s">
        <v>233</v>
      </c>
      <c r="L180" t="s">
        <v>241</v>
      </c>
      <c r="M180" t="s">
        <v>45</v>
      </c>
      <c r="N180">
        <v>245.32</v>
      </c>
      <c r="O180">
        <v>4.7618999999999998</v>
      </c>
      <c r="P180">
        <v>12.27</v>
      </c>
      <c r="Q180">
        <v>6.3</v>
      </c>
      <c r="R180" s="8">
        <f t="shared" si="2"/>
        <v>43512</v>
      </c>
    </row>
    <row r="181" spans="1:18" x14ac:dyDescent="0.35">
      <c r="A181" t="s">
        <v>390</v>
      </c>
      <c r="B181" t="s">
        <v>18</v>
      </c>
      <c r="C181" t="s">
        <v>19</v>
      </c>
      <c r="D181" t="s">
        <v>27</v>
      </c>
      <c r="E181" t="s">
        <v>21</v>
      </c>
      <c r="F181" t="s">
        <v>54</v>
      </c>
      <c r="G181">
        <v>97.76</v>
      </c>
      <c r="H181">
        <v>7</v>
      </c>
      <c r="I181">
        <v>34.22</v>
      </c>
      <c r="J181">
        <v>718.54</v>
      </c>
      <c r="K181" t="s">
        <v>320</v>
      </c>
      <c r="L181" t="s">
        <v>391</v>
      </c>
      <c r="M181" t="s">
        <v>35</v>
      </c>
      <c r="N181">
        <v>684.32</v>
      </c>
      <c r="O181">
        <v>4.7618999999999998</v>
      </c>
      <c r="P181">
        <v>34.22</v>
      </c>
      <c r="Q181">
        <v>8.5</v>
      </c>
      <c r="R181" s="8">
        <f t="shared" si="2"/>
        <v>43513</v>
      </c>
    </row>
    <row r="182" spans="1:18" x14ac:dyDescent="0.35">
      <c r="A182" t="s">
        <v>392</v>
      </c>
      <c r="B182" t="s">
        <v>18</v>
      </c>
      <c r="C182" t="s">
        <v>19</v>
      </c>
      <c r="D182" t="s">
        <v>27</v>
      </c>
      <c r="E182" t="s">
        <v>21</v>
      </c>
      <c r="F182" t="s">
        <v>28</v>
      </c>
      <c r="G182">
        <v>13.5</v>
      </c>
      <c r="H182">
        <v>6</v>
      </c>
      <c r="I182">
        <v>4.05</v>
      </c>
      <c r="J182">
        <v>85.05</v>
      </c>
      <c r="K182" t="s">
        <v>226</v>
      </c>
      <c r="L182" t="s">
        <v>192</v>
      </c>
      <c r="M182" t="s">
        <v>45</v>
      </c>
      <c r="N182">
        <v>81</v>
      </c>
      <c r="O182">
        <v>4.7618999999999998</v>
      </c>
      <c r="P182">
        <v>4.05</v>
      </c>
      <c r="Q182">
        <v>7.6</v>
      </c>
      <c r="R182" s="8">
        <f t="shared" si="2"/>
        <v>43526</v>
      </c>
    </row>
    <row r="183" spans="1:18" x14ac:dyDescent="0.35">
      <c r="A183" t="s">
        <v>393</v>
      </c>
      <c r="B183" t="s">
        <v>68</v>
      </c>
      <c r="C183" t="s">
        <v>69</v>
      </c>
      <c r="D183" t="s">
        <v>27</v>
      </c>
      <c r="E183" t="s">
        <v>42</v>
      </c>
      <c r="F183" t="s">
        <v>54</v>
      </c>
      <c r="G183">
        <v>45.37</v>
      </c>
      <c r="H183">
        <v>10</v>
      </c>
      <c r="I183">
        <v>22.69</v>
      </c>
      <c r="J183">
        <v>476.39</v>
      </c>
      <c r="K183" t="s">
        <v>113</v>
      </c>
      <c r="L183" t="s">
        <v>248</v>
      </c>
      <c r="M183" t="s">
        <v>25</v>
      </c>
      <c r="N183">
        <v>453.7</v>
      </c>
      <c r="O183">
        <v>4.7618999999999998</v>
      </c>
      <c r="P183">
        <v>22.69</v>
      </c>
      <c r="Q183">
        <v>9</v>
      </c>
      <c r="R183" s="8">
        <f t="shared" si="2"/>
        <v>43504</v>
      </c>
    </row>
    <row r="184" spans="1:18" x14ac:dyDescent="0.35">
      <c r="A184" t="s">
        <v>394</v>
      </c>
      <c r="B184" t="s">
        <v>37</v>
      </c>
      <c r="C184" t="s">
        <v>38</v>
      </c>
      <c r="D184" t="s">
        <v>27</v>
      </c>
      <c r="E184" t="s">
        <v>42</v>
      </c>
      <c r="F184" t="s">
        <v>28</v>
      </c>
      <c r="G184">
        <v>43.15</v>
      </c>
      <c r="H184">
        <v>2</v>
      </c>
      <c r="I184">
        <v>4.32</v>
      </c>
      <c r="J184">
        <v>90.62</v>
      </c>
      <c r="K184" t="s">
        <v>395</v>
      </c>
      <c r="L184" t="s">
        <v>140</v>
      </c>
      <c r="M184" t="s">
        <v>25</v>
      </c>
      <c r="N184">
        <v>86.3</v>
      </c>
      <c r="O184">
        <v>4.7618999999999998</v>
      </c>
      <c r="P184">
        <v>4.32</v>
      </c>
      <c r="Q184">
        <v>9.1999999999999993</v>
      </c>
      <c r="R184" s="8">
        <f t="shared" si="2"/>
        <v>43519</v>
      </c>
    </row>
    <row r="185" spans="1:18" x14ac:dyDescent="0.35">
      <c r="A185" t="s">
        <v>396</v>
      </c>
      <c r="B185" t="s">
        <v>68</v>
      </c>
      <c r="C185" t="s">
        <v>69</v>
      </c>
      <c r="D185" t="s">
        <v>27</v>
      </c>
      <c r="E185" t="s">
        <v>42</v>
      </c>
      <c r="F185" t="s">
        <v>22</v>
      </c>
      <c r="G185">
        <v>80.459999999999994</v>
      </c>
      <c r="H185">
        <v>10</v>
      </c>
      <c r="I185">
        <v>40.229999999999997</v>
      </c>
      <c r="J185">
        <v>844.83</v>
      </c>
      <c r="K185" t="s">
        <v>43</v>
      </c>
      <c r="L185" t="s">
        <v>44</v>
      </c>
      <c r="M185" t="s">
        <v>45</v>
      </c>
      <c r="N185">
        <v>804.6</v>
      </c>
      <c r="O185">
        <v>4.7618999999999998</v>
      </c>
      <c r="P185">
        <v>40.229999999999997</v>
      </c>
      <c r="Q185">
        <v>7.5</v>
      </c>
      <c r="R185" s="8">
        <f t="shared" si="2"/>
        <v>43539</v>
      </c>
    </row>
    <row r="186" spans="1:18" x14ac:dyDescent="0.35">
      <c r="A186" t="s">
        <v>397</v>
      </c>
      <c r="B186" t="s">
        <v>18</v>
      </c>
      <c r="C186" t="s">
        <v>19</v>
      </c>
      <c r="D186" t="s">
        <v>27</v>
      </c>
      <c r="E186" t="s">
        <v>21</v>
      </c>
      <c r="F186" t="s">
        <v>22</v>
      </c>
      <c r="G186">
        <v>31.8</v>
      </c>
      <c r="H186">
        <v>10</v>
      </c>
      <c r="I186">
        <v>15.9</v>
      </c>
      <c r="J186">
        <v>333.9</v>
      </c>
      <c r="K186" t="s">
        <v>209</v>
      </c>
      <c r="L186" t="s">
        <v>76</v>
      </c>
      <c r="M186" t="s">
        <v>35</v>
      </c>
      <c r="N186">
        <v>318</v>
      </c>
      <c r="O186">
        <v>4.7618999999999998</v>
      </c>
      <c r="P186">
        <v>15.9</v>
      </c>
      <c r="Q186">
        <v>5.9</v>
      </c>
      <c r="R186" s="8">
        <f t="shared" si="2"/>
        <v>43480</v>
      </c>
    </row>
    <row r="187" spans="1:18" x14ac:dyDescent="0.35">
      <c r="A187" t="s">
        <v>398</v>
      </c>
      <c r="B187" t="s">
        <v>37</v>
      </c>
      <c r="C187" t="s">
        <v>38</v>
      </c>
      <c r="D187" t="s">
        <v>20</v>
      </c>
      <c r="E187" t="s">
        <v>42</v>
      </c>
      <c r="F187" t="s">
        <v>50</v>
      </c>
      <c r="G187">
        <v>79.75</v>
      </c>
      <c r="H187">
        <v>8</v>
      </c>
      <c r="I187">
        <v>31.9</v>
      </c>
      <c r="J187">
        <v>669.9</v>
      </c>
      <c r="K187" t="s">
        <v>90</v>
      </c>
      <c r="L187" t="s">
        <v>358</v>
      </c>
      <c r="M187" t="s">
        <v>45</v>
      </c>
      <c r="N187">
        <v>638</v>
      </c>
      <c r="O187">
        <v>4.7618999999999998</v>
      </c>
      <c r="P187">
        <v>31.9</v>
      </c>
      <c r="Q187">
        <v>7.4</v>
      </c>
      <c r="R187" s="8">
        <f t="shared" si="2"/>
        <v>43473</v>
      </c>
    </row>
    <row r="188" spans="1:18" x14ac:dyDescent="0.35">
      <c r="A188" t="s">
        <v>399</v>
      </c>
      <c r="B188" t="s">
        <v>37</v>
      </c>
      <c r="C188" t="s">
        <v>38</v>
      </c>
      <c r="D188" t="s">
        <v>27</v>
      </c>
      <c r="E188" t="s">
        <v>42</v>
      </c>
      <c r="F188" t="s">
        <v>54</v>
      </c>
      <c r="G188">
        <v>51.37</v>
      </c>
      <c r="H188">
        <v>9</v>
      </c>
      <c r="I188">
        <v>23.12</v>
      </c>
      <c r="J188">
        <v>485.45</v>
      </c>
      <c r="K188" t="s">
        <v>240</v>
      </c>
      <c r="L188" t="s">
        <v>297</v>
      </c>
      <c r="M188" t="s">
        <v>25</v>
      </c>
      <c r="N188">
        <v>462.33</v>
      </c>
      <c r="O188">
        <v>4.7618999999999998</v>
      </c>
      <c r="P188">
        <v>23.12</v>
      </c>
      <c r="Q188">
        <v>8.6</v>
      </c>
      <c r="R188" s="8">
        <f t="shared" si="2"/>
        <v>43509</v>
      </c>
    </row>
    <row r="189" spans="1:18" x14ac:dyDescent="0.35">
      <c r="A189" t="s">
        <v>400</v>
      </c>
      <c r="B189" t="s">
        <v>18</v>
      </c>
      <c r="C189" t="s">
        <v>19</v>
      </c>
      <c r="D189" t="s">
        <v>27</v>
      </c>
      <c r="E189" t="s">
        <v>42</v>
      </c>
      <c r="F189" t="s">
        <v>54</v>
      </c>
      <c r="G189">
        <v>96.16</v>
      </c>
      <c r="H189">
        <v>5</v>
      </c>
      <c r="I189">
        <v>24.04</v>
      </c>
      <c r="J189">
        <v>504.84</v>
      </c>
      <c r="K189" t="s">
        <v>121</v>
      </c>
      <c r="L189" t="s">
        <v>150</v>
      </c>
      <c r="M189" t="s">
        <v>35</v>
      </c>
      <c r="N189">
        <v>480.8</v>
      </c>
      <c r="O189">
        <v>4.7618999999999998</v>
      </c>
      <c r="P189">
        <v>24.04</v>
      </c>
      <c r="Q189">
        <v>8.6</v>
      </c>
      <c r="R189" s="8">
        <f t="shared" si="2"/>
        <v>43537</v>
      </c>
    </row>
    <row r="190" spans="1:18" x14ac:dyDescent="0.35">
      <c r="A190" t="s">
        <v>401</v>
      </c>
      <c r="B190" t="s">
        <v>68</v>
      </c>
      <c r="C190" t="s">
        <v>69</v>
      </c>
      <c r="D190" t="s">
        <v>27</v>
      </c>
      <c r="E190" t="s">
        <v>42</v>
      </c>
      <c r="F190" t="s">
        <v>32</v>
      </c>
      <c r="G190">
        <v>41.39</v>
      </c>
      <c r="H190">
        <v>5</v>
      </c>
      <c r="I190">
        <v>10.35</v>
      </c>
      <c r="J190">
        <v>217.3</v>
      </c>
      <c r="K190" t="s">
        <v>216</v>
      </c>
      <c r="L190" t="s">
        <v>105</v>
      </c>
      <c r="M190" t="s">
        <v>25</v>
      </c>
      <c r="N190">
        <v>206.95</v>
      </c>
      <c r="O190">
        <v>4.7618999999999998</v>
      </c>
      <c r="P190">
        <v>10.35</v>
      </c>
      <c r="Q190">
        <v>7.3</v>
      </c>
      <c r="R190" s="8">
        <f t="shared" si="2"/>
        <v>43502</v>
      </c>
    </row>
    <row r="191" spans="1:18" x14ac:dyDescent="0.35">
      <c r="A191" t="s">
        <v>402</v>
      </c>
      <c r="B191" t="s">
        <v>37</v>
      </c>
      <c r="C191" t="s">
        <v>38</v>
      </c>
      <c r="D191" t="s">
        <v>20</v>
      </c>
      <c r="E191" t="s">
        <v>42</v>
      </c>
      <c r="F191" t="s">
        <v>28</v>
      </c>
      <c r="G191">
        <v>35.89</v>
      </c>
      <c r="H191">
        <v>2</v>
      </c>
      <c r="I191">
        <v>3.59</v>
      </c>
      <c r="J191">
        <v>75.37</v>
      </c>
      <c r="K191" t="s">
        <v>315</v>
      </c>
      <c r="L191" t="s">
        <v>370</v>
      </c>
      <c r="M191" t="s">
        <v>35</v>
      </c>
      <c r="N191">
        <v>71.78</v>
      </c>
      <c r="O191">
        <v>4.7618999999999998</v>
      </c>
      <c r="P191">
        <v>3.59</v>
      </c>
      <c r="Q191">
        <v>8.5</v>
      </c>
      <c r="R191" s="8">
        <f t="shared" si="2"/>
        <v>43510</v>
      </c>
    </row>
    <row r="192" spans="1:18" x14ac:dyDescent="0.35">
      <c r="A192" t="s">
        <v>403</v>
      </c>
      <c r="B192" t="s">
        <v>68</v>
      </c>
      <c r="C192" t="s">
        <v>69</v>
      </c>
      <c r="D192" t="s">
        <v>27</v>
      </c>
      <c r="E192" t="s">
        <v>42</v>
      </c>
      <c r="F192" t="s">
        <v>54</v>
      </c>
      <c r="G192">
        <v>19.829999999999998</v>
      </c>
      <c r="H192">
        <v>10</v>
      </c>
      <c r="I192">
        <v>9.92</v>
      </c>
      <c r="J192">
        <v>208.22</v>
      </c>
      <c r="K192" t="s">
        <v>164</v>
      </c>
      <c r="L192" t="s">
        <v>76</v>
      </c>
      <c r="M192" t="s">
        <v>25</v>
      </c>
      <c r="N192">
        <v>198.3</v>
      </c>
      <c r="O192">
        <v>4.7618999999999998</v>
      </c>
      <c r="P192">
        <v>9.92</v>
      </c>
      <c r="Q192">
        <v>9.4</v>
      </c>
      <c r="R192" s="8">
        <f t="shared" si="2"/>
        <v>43496</v>
      </c>
    </row>
    <row r="193" spans="1:18" x14ac:dyDescent="0.35">
      <c r="A193" t="s">
        <v>404</v>
      </c>
      <c r="B193" t="s">
        <v>18</v>
      </c>
      <c r="C193" t="s">
        <v>19</v>
      </c>
      <c r="D193" t="s">
        <v>20</v>
      </c>
      <c r="E193" t="s">
        <v>21</v>
      </c>
      <c r="F193" t="s">
        <v>28</v>
      </c>
      <c r="G193">
        <v>47.2</v>
      </c>
      <c r="H193">
        <v>8</v>
      </c>
      <c r="I193">
        <v>18.88</v>
      </c>
      <c r="J193">
        <v>396.48</v>
      </c>
      <c r="K193" t="s">
        <v>405</v>
      </c>
      <c r="L193" t="s">
        <v>316</v>
      </c>
      <c r="M193" t="s">
        <v>45</v>
      </c>
      <c r="N193">
        <v>377.6</v>
      </c>
      <c r="O193">
        <v>4.7618999999999998</v>
      </c>
      <c r="P193">
        <v>18.88</v>
      </c>
      <c r="Q193">
        <v>9.8000000000000007</v>
      </c>
      <c r="R193" s="8">
        <f t="shared" si="2"/>
        <v>43478</v>
      </c>
    </row>
    <row r="194" spans="1:18" x14ac:dyDescent="0.35">
      <c r="A194" t="s">
        <v>406</v>
      </c>
      <c r="B194" t="s">
        <v>37</v>
      </c>
      <c r="C194" t="s">
        <v>38</v>
      </c>
      <c r="D194" t="s">
        <v>27</v>
      </c>
      <c r="E194" t="s">
        <v>42</v>
      </c>
      <c r="F194" t="s">
        <v>22</v>
      </c>
      <c r="G194">
        <v>27.95</v>
      </c>
      <c r="H194">
        <v>5</v>
      </c>
      <c r="I194">
        <v>6.99</v>
      </c>
      <c r="J194">
        <v>146.74</v>
      </c>
      <c r="K194" t="s">
        <v>266</v>
      </c>
      <c r="L194" t="s">
        <v>259</v>
      </c>
      <c r="M194" t="s">
        <v>45</v>
      </c>
      <c r="N194">
        <v>139.75</v>
      </c>
      <c r="O194">
        <v>4.7618999999999998</v>
      </c>
      <c r="P194">
        <v>6.99</v>
      </c>
      <c r="Q194">
        <v>9.4</v>
      </c>
      <c r="R194" s="8">
        <f t="shared" si="2"/>
        <v>43507</v>
      </c>
    </row>
    <row r="195" spans="1:18" x14ac:dyDescent="0.35">
      <c r="A195" t="s">
        <v>407</v>
      </c>
      <c r="B195" t="s">
        <v>18</v>
      </c>
      <c r="C195" t="s">
        <v>19</v>
      </c>
      <c r="D195" t="s">
        <v>20</v>
      </c>
      <c r="E195" t="s">
        <v>21</v>
      </c>
      <c r="F195" t="s">
        <v>54</v>
      </c>
      <c r="G195">
        <v>47.61</v>
      </c>
      <c r="H195">
        <v>3</v>
      </c>
      <c r="I195">
        <v>7.14</v>
      </c>
      <c r="J195">
        <v>149.97</v>
      </c>
      <c r="K195" t="s">
        <v>231</v>
      </c>
      <c r="L195" t="s">
        <v>156</v>
      </c>
      <c r="M195" t="s">
        <v>45</v>
      </c>
      <c r="N195">
        <v>142.83000000000001</v>
      </c>
      <c r="O195">
        <v>4.7618999999999998</v>
      </c>
      <c r="P195">
        <v>7.14</v>
      </c>
      <c r="Q195">
        <v>9.6</v>
      </c>
      <c r="R195" s="8">
        <f t="shared" ref="R195:R258" si="3">DATEVALUE(K195)</f>
        <v>43470</v>
      </c>
    </row>
    <row r="196" spans="1:18" x14ac:dyDescent="0.35">
      <c r="A196" t="s">
        <v>408</v>
      </c>
      <c r="B196" t="s">
        <v>37</v>
      </c>
      <c r="C196" t="s">
        <v>38</v>
      </c>
      <c r="D196" t="s">
        <v>20</v>
      </c>
      <c r="E196" t="s">
        <v>21</v>
      </c>
      <c r="F196" t="s">
        <v>61</v>
      </c>
      <c r="G196">
        <v>61.12</v>
      </c>
      <c r="H196">
        <v>2</v>
      </c>
      <c r="I196">
        <v>6.11</v>
      </c>
      <c r="J196">
        <v>128.35</v>
      </c>
      <c r="K196" t="s">
        <v>229</v>
      </c>
      <c r="L196" t="s">
        <v>94</v>
      </c>
      <c r="M196" t="s">
        <v>25</v>
      </c>
      <c r="N196">
        <v>122.24</v>
      </c>
      <c r="O196">
        <v>4.7618999999999998</v>
      </c>
      <c r="P196">
        <v>6.11</v>
      </c>
      <c r="Q196">
        <v>7.3</v>
      </c>
      <c r="R196" s="8">
        <f t="shared" si="3"/>
        <v>43508</v>
      </c>
    </row>
    <row r="197" spans="1:18" x14ac:dyDescent="0.35">
      <c r="A197" t="s">
        <v>409</v>
      </c>
      <c r="B197" t="s">
        <v>68</v>
      </c>
      <c r="C197" t="s">
        <v>69</v>
      </c>
      <c r="D197" t="s">
        <v>27</v>
      </c>
      <c r="E197" t="s">
        <v>42</v>
      </c>
      <c r="F197" t="s">
        <v>54</v>
      </c>
      <c r="G197">
        <v>82.79</v>
      </c>
      <c r="H197">
        <v>6</v>
      </c>
      <c r="I197">
        <v>24.84</v>
      </c>
      <c r="J197">
        <v>521.58000000000004</v>
      </c>
      <c r="K197" t="s">
        <v>33</v>
      </c>
      <c r="L197" t="s">
        <v>370</v>
      </c>
      <c r="M197" t="s">
        <v>35</v>
      </c>
      <c r="N197">
        <v>496.74</v>
      </c>
      <c r="O197">
        <v>4.7618999999999998</v>
      </c>
      <c r="P197">
        <v>24.84</v>
      </c>
      <c r="Q197">
        <v>8.3000000000000007</v>
      </c>
      <c r="R197" s="8">
        <f t="shared" si="3"/>
        <v>43486</v>
      </c>
    </row>
    <row r="198" spans="1:18" x14ac:dyDescent="0.35">
      <c r="A198" t="s">
        <v>410</v>
      </c>
      <c r="B198" t="s">
        <v>18</v>
      </c>
      <c r="C198" t="s">
        <v>19</v>
      </c>
      <c r="D198" t="s">
        <v>27</v>
      </c>
      <c r="E198" t="s">
        <v>42</v>
      </c>
      <c r="F198" t="s">
        <v>50</v>
      </c>
      <c r="G198">
        <v>70.7</v>
      </c>
      <c r="H198">
        <v>4</v>
      </c>
      <c r="I198">
        <v>14.14</v>
      </c>
      <c r="J198">
        <v>296.94</v>
      </c>
      <c r="K198" t="s">
        <v>139</v>
      </c>
      <c r="L198" t="s">
        <v>114</v>
      </c>
      <c r="M198" t="s">
        <v>35</v>
      </c>
      <c r="N198">
        <v>282.8</v>
      </c>
      <c r="O198">
        <v>4.7618999999999998</v>
      </c>
      <c r="P198">
        <v>14.14</v>
      </c>
      <c r="Q198">
        <v>9</v>
      </c>
      <c r="R198" s="8">
        <f t="shared" si="3"/>
        <v>43488</v>
      </c>
    </row>
    <row r="199" spans="1:18" x14ac:dyDescent="0.35">
      <c r="A199" t="s">
        <v>411</v>
      </c>
      <c r="B199" t="s">
        <v>37</v>
      </c>
      <c r="C199" t="s">
        <v>38</v>
      </c>
      <c r="D199" t="s">
        <v>20</v>
      </c>
      <c r="E199" t="s">
        <v>42</v>
      </c>
      <c r="F199" t="s">
        <v>22</v>
      </c>
      <c r="G199">
        <v>18.579999999999998</v>
      </c>
      <c r="H199">
        <v>3</v>
      </c>
      <c r="I199">
        <v>2.79</v>
      </c>
      <c r="J199">
        <v>58.53</v>
      </c>
      <c r="K199" t="s">
        <v>412</v>
      </c>
      <c r="L199" t="s">
        <v>413</v>
      </c>
      <c r="M199" t="s">
        <v>45</v>
      </c>
      <c r="N199">
        <v>55.74</v>
      </c>
      <c r="O199">
        <v>4.7618999999999998</v>
      </c>
      <c r="P199">
        <v>2.79</v>
      </c>
      <c r="Q199">
        <v>5.6</v>
      </c>
      <c r="R199" s="8">
        <f t="shared" si="3"/>
        <v>43527</v>
      </c>
    </row>
    <row r="200" spans="1:18" x14ac:dyDescent="0.35">
      <c r="A200" t="s">
        <v>414</v>
      </c>
      <c r="B200" t="s">
        <v>37</v>
      </c>
      <c r="C200" t="s">
        <v>38</v>
      </c>
      <c r="D200" t="s">
        <v>27</v>
      </c>
      <c r="E200" t="s">
        <v>42</v>
      </c>
      <c r="F200" t="s">
        <v>61</v>
      </c>
      <c r="G200">
        <v>62.42</v>
      </c>
      <c r="H200">
        <v>10</v>
      </c>
      <c r="I200">
        <v>31.21</v>
      </c>
      <c r="J200">
        <v>655.41</v>
      </c>
      <c r="K200" t="s">
        <v>415</v>
      </c>
      <c r="L200" t="s">
        <v>259</v>
      </c>
      <c r="M200" t="s">
        <v>35</v>
      </c>
      <c r="N200">
        <v>624.20000000000005</v>
      </c>
      <c r="O200">
        <v>4.7618999999999998</v>
      </c>
      <c r="P200">
        <v>31.21</v>
      </c>
      <c r="Q200">
        <v>8.1999999999999993</v>
      </c>
      <c r="R200" s="8">
        <f t="shared" si="3"/>
        <v>43467</v>
      </c>
    </row>
    <row r="201" spans="1:18" x14ac:dyDescent="0.35">
      <c r="A201" t="s">
        <v>416</v>
      </c>
      <c r="B201" t="s">
        <v>18</v>
      </c>
      <c r="C201" t="s">
        <v>19</v>
      </c>
      <c r="D201" t="s">
        <v>20</v>
      </c>
      <c r="E201" t="s">
        <v>42</v>
      </c>
      <c r="F201" t="s">
        <v>61</v>
      </c>
      <c r="G201">
        <v>24.37</v>
      </c>
      <c r="H201">
        <v>9</v>
      </c>
      <c r="I201">
        <v>10.97</v>
      </c>
      <c r="J201">
        <v>230.3</v>
      </c>
      <c r="K201" t="s">
        <v>75</v>
      </c>
      <c r="L201" t="s">
        <v>24</v>
      </c>
      <c r="M201" t="s">
        <v>35</v>
      </c>
      <c r="N201">
        <v>219.33</v>
      </c>
      <c r="O201">
        <v>4.7618999999999998</v>
      </c>
      <c r="P201">
        <v>10.97</v>
      </c>
      <c r="Q201">
        <v>6.2</v>
      </c>
      <c r="R201" s="8">
        <f t="shared" si="3"/>
        <v>43505</v>
      </c>
    </row>
    <row r="202" spans="1:18" x14ac:dyDescent="0.35">
      <c r="A202" t="s">
        <v>417</v>
      </c>
      <c r="B202" t="s">
        <v>68</v>
      </c>
      <c r="C202" t="s">
        <v>69</v>
      </c>
      <c r="D202" t="s">
        <v>20</v>
      </c>
      <c r="E202" t="s">
        <v>42</v>
      </c>
      <c r="F202" t="s">
        <v>54</v>
      </c>
      <c r="G202">
        <v>50.95</v>
      </c>
      <c r="H202">
        <v>10</v>
      </c>
      <c r="I202">
        <v>25.48</v>
      </c>
      <c r="J202">
        <v>534.98</v>
      </c>
      <c r="K202" t="s">
        <v>320</v>
      </c>
      <c r="L202" t="s">
        <v>91</v>
      </c>
      <c r="M202" t="s">
        <v>25</v>
      </c>
      <c r="N202">
        <v>509.5</v>
      </c>
      <c r="O202">
        <v>4.7618999999999998</v>
      </c>
      <c r="P202">
        <v>25.48</v>
      </c>
      <c r="Q202">
        <v>9.5</v>
      </c>
      <c r="R202" s="8">
        <f t="shared" si="3"/>
        <v>43513</v>
      </c>
    </row>
    <row r="203" spans="1:18" x14ac:dyDescent="0.35">
      <c r="A203" t="s">
        <v>418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77.930000000000007</v>
      </c>
      <c r="H203">
        <v>2</v>
      </c>
      <c r="I203">
        <v>7.79</v>
      </c>
      <c r="J203">
        <v>163.65</v>
      </c>
      <c r="K203" t="s">
        <v>332</v>
      </c>
      <c r="L203" t="s">
        <v>66</v>
      </c>
      <c r="M203" t="s">
        <v>25</v>
      </c>
      <c r="N203">
        <v>155.86000000000001</v>
      </c>
      <c r="O203">
        <v>4.7618999999999998</v>
      </c>
      <c r="P203">
        <v>7.79</v>
      </c>
      <c r="Q203">
        <v>6.2</v>
      </c>
      <c r="R203" s="8">
        <f t="shared" si="3"/>
        <v>43533</v>
      </c>
    </row>
    <row r="204" spans="1:18" x14ac:dyDescent="0.35">
      <c r="A204" t="s">
        <v>419</v>
      </c>
      <c r="B204" t="s">
        <v>68</v>
      </c>
      <c r="C204" t="s">
        <v>69</v>
      </c>
      <c r="D204" t="s">
        <v>20</v>
      </c>
      <c r="E204" t="s">
        <v>21</v>
      </c>
      <c r="F204" t="s">
        <v>50</v>
      </c>
      <c r="G204">
        <v>58.3</v>
      </c>
      <c r="H204">
        <v>3</v>
      </c>
      <c r="I204">
        <v>8.75</v>
      </c>
      <c r="J204">
        <v>183.65</v>
      </c>
      <c r="K204" t="s">
        <v>266</v>
      </c>
      <c r="L204" t="s">
        <v>192</v>
      </c>
      <c r="M204" t="s">
        <v>45</v>
      </c>
      <c r="N204">
        <v>174.9</v>
      </c>
      <c r="O204">
        <v>4.7618999999999998</v>
      </c>
      <c r="P204">
        <v>8.75</v>
      </c>
      <c r="Q204">
        <v>8.1</v>
      </c>
      <c r="R204" s="8">
        <f t="shared" si="3"/>
        <v>43507</v>
      </c>
    </row>
    <row r="205" spans="1:18" x14ac:dyDescent="0.35">
      <c r="A205" t="s">
        <v>420</v>
      </c>
      <c r="B205" t="s">
        <v>18</v>
      </c>
      <c r="C205" t="s">
        <v>19</v>
      </c>
      <c r="D205" t="s">
        <v>27</v>
      </c>
      <c r="E205" t="s">
        <v>21</v>
      </c>
      <c r="F205" t="s">
        <v>50</v>
      </c>
      <c r="G205">
        <v>50.09</v>
      </c>
      <c r="H205">
        <v>1</v>
      </c>
      <c r="I205">
        <v>2.5</v>
      </c>
      <c r="J205">
        <v>52.59</v>
      </c>
      <c r="K205" t="s">
        <v>202</v>
      </c>
      <c r="L205" t="s">
        <v>358</v>
      </c>
      <c r="M205" t="s">
        <v>35</v>
      </c>
      <c r="N205">
        <v>50.09</v>
      </c>
      <c r="O205">
        <v>4.7618999999999998</v>
      </c>
      <c r="P205">
        <v>2.5</v>
      </c>
      <c r="Q205">
        <v>6.7</v>
      </c>
      <c r="R205" s="8">
        <f t="shared" si="3"/>
        <v>43524</v>
      </c>
    </row>
    <row r="206" spans="1:18" x14ac:dyDescent="0.35">
      <c r="A206" t="s">
        <v>421</v>
      </c>
      <c r="B206" t="s">
        <v>18</v>
      </c>
      <c r="C206" t="s">
        <v>19</v>
      </c>
      <c r="D206" t="s">
        <v>27</v>
      </c>
      <c r="E206" t="s">
        <v>42</v>
      </c>
      <c r="F206" t="s">
        <v>22</v>
      </c>
      <c r="G206">
        <v>11.96</v>
      </c>
      <c r="H206">
        <v>5</v>
      </c>
      <c r="I206">
        <v>2.99</v>
      </c>
      <c r="J206">
        <v>62.79</v>
      </c>
      <c r="K206" t="s">
        <v>422</v>
      </c>
      <c r="L206" t="s">
        <v>348</v>
      </c>
      <c r="M206" t="s">
        <v>45</v>
      </c>
      <c r="N206">
        <v>59.8</v>
      </c>
      <c r="O206">
        <v>4.7618999999999998</v>
      </c>
      <c r="P206">
        <v>2.99</v>
      </c>
      <c r="Q206">
        <v>4.3</v>
      </c>
      <c r="R206" s="8">
        <f t="shared" si="3"/>
        <v>43466</v>
      </c>
    </row>
    <row r="207" spans="1:18" x14ac:dyDescent="0.35">
      <c r="A207" t="s">
        <v>423</v>
      </c>
      <c r="B207" t="s">
        <v>18</v>
      </c>
      <c r="C207" t="s">
        <v>19</v>
      </c>
      <c r="D207" t="s">
        <v>20</v>
      </c>
      <c r="E207" t="s">
        <v>21</v>
      </c>
      <c r="F207" t="s">
        <v>28</v>
      </c>
      <c r="G207">
        <v>98.75</v>
      </c>
      <c r="H207">
        <v>8</v>
      </c>
      <c r="I207">
        <v>39.5</v>
      </c>
      <c r="J207">
        <v>829.5</v>
      </c>
      <c r="K207" t="s">
        <v>231</v>
      </c>
      <c r="L207" t="s">
        <v>368</v>
      </c>
      <c r="M207" t="s">
        <v>45</v>
      </c>
      <c r="N207">
        <v>790</v>
      </c>
      <c r="O207">
        <v>4.7618999999999998</v>
      </c>
      <c r="P207">
        <v>39.5</v>
      </c>
      <c r="Q207">
        <v>8.6</v>
      </c>
      <c r="R207" s="8">
        <f t="shared" si="3"/>
        <v>43470</v>
      </c>
    </row>
    <row r="208" spans="1:18" x14ac:dyDescent="0.35">
      <c r="A208" t="s">
        <v>424</v>
      </c>
      <c r="B208" t="s">
        <v>18</v>
      </c>
      <c r="C208" t="s">
        <v>19</v>
      </c>
      <c r="D208" t="s">
        <v>27</v>
      </c>
      <c r="E208" t="s">
        <v>42</v>
      </c>
      <c r="F208" t="s">
        <v>32</v>
      </c>
      <c r="G208">
        <v>50.37</v>
      </c>
      <c r="H208">
        <v>7</v>
      </c>
      <c r="I208">
        <v>17.63</v>
      </c>
      <c r="J208">
        <v>370.22</v>
      </c>
      <c r="K208" t="s">
        <v>425</v>
      </c>
      <c r="L208" t="s">
        <v>24</v>
      </c>
      <c r="M208" t="s">
        <v>25</v>
      </c>
      <c r="N208">
        <v>352.59</v>
      </c>
      <c r="O208">
        <v>4.7618999999999998</v>
      </c>
      <c r="P208">
        <v>17.63</v>
      </c>
      <c r="Q208">
        <v>9.1999999999999993</v>
      </c>
      <c r="R208" s="8">
        <f t="shared" si="3"/>
        <v>43514</v>
      </c>
    </row>
    <row r="209" spans="1:18" x14ac:dyDescent="0.35">
      <c r="A209" t="s">
        <v>426</v>
      </c>
      <c r="B209" t="s">
        <v>18</v>
      </c>
      <c r="C209" t="s">
        <v>19</v>
      </c>
      <c r="D209" t="s">
        <v>27</v>
      </c>
      <c r="E209" t="s">
        <v>21</v>
      </c>
      <c r="F209" t="s">
        <v>54</v>
      </c>
      <c r="G209">
        <v>99.36</v>
      </c>
      <c r="H209">
        <v>7</v>
      </c>
      <c r="I209">
        <v>34.78</v>
      </c>
      <c r="J209">
        <v>730.3</v>
      </c>
      <c r="K209" t="s">
        <v>332</v>
      </c>
      <c r="L209" t="s">
        <v>427</v>
      </c>
      <c r="M209" t="s">
        <v>45</v>
      </c>
      <c r="N209">
        <v>695.52</v>
      </c>
      <c r="O209">
        <v>4.7618999999999998</v>
      </c>
      <c r="P209">
        <v>34.78</v>
      </c>
      <c r="Q209">
        <v>9</v>
      </c>
      <c r="R209" s="8">
        <f t="shared" si="3"/>
        <v>43533</v>
      </c>
    </row>
    <row r="210" spans="1:18" x14ac:dyDescent="0.35">
      <c r="A210" t="s">
        <v>428</v>
      </c>
      <c r="B210" t="s">
        <v>68</v>
      </c>
      <c r="C210" t="s">
        <v>69</v>
      </c>
      <c r="D210" t="s">
        <v>27</v>
      </c>
      <c r="E210" t="s">
        <v>42</v>
      </c>
      <c r="F210" t="s">
        <v>22</v>
      </c>
      <c r="G210">
        <v>74.72</v>
      </c>
      <c r="H210">
        <v>7</v>
      </c>
      <c r="I210">
        <v>26.15</v>
      </c>
      <c r="J210">
        <v>549.19000000000005</v>
      </c>
      <c r="K210" t="s">
        <v>336</v>
      </c>
      <c r="L210" t="s">
        <v>384</v>
      </c>
      <c r="M210" t="s">
        <v>45</v>
      </c>
      <c r="N210">
        <v>523.04</v>
      </c>
      <c r="O210">
        <v>4.7618999999999998</v>
      </c>
      <c r="P210">
        <v>26.15</v>
      </c>
      <c r="Q210">
        <v>6.8</v>
      </c>
      <c r="R210" s="8">
        <f t="shared" si="3"/>
        <v>43534</v>
      </c>
    </row>
    <row r="211" spans="1:18" x14ac:dyDescent="0.35">
      <c r="A211" t="s">
        <v>429</v>
      </c>
      <c r="B211" t="s">
        <v>37</v>
      </c>
      <c r="C211" t="s">
        <v>38</v>
      </c>
      <c r="D211" t="s">
        <v>20</v>
      </c>
      <c r="E211" t="s">
        <v>21</v>
      </c>
      <c r="F211" t="s">
        <v>28</v>
      </c>
      <c r="G211">
        <v>82.85</v>
      </c>
      <c r="H211">
        <v>7</v>
      </c>
      <c r="I211">
        <v>29</v>
      </c>
      <c r="J211">
        <v>608.95000000000005</v>
      </c>
      <c r="K211" t="s">
        <v>191</v>
      </c>
      <c r="L211" t="s">
        <v>430</v>
      </c>
      <c r="M211" t="s">
        <v>45</v>
      </c>
      <c r="N211">
        <v>579.95000000000005</v>
      </c>
      <c r="O211">
        <v>4.7618999999999998</v>
      </c>
      <c r="P211">
        <v>29</v>
      </c>
      <c r="Q211">
        <v>4.4000000000000004</v>
      </c>
      <c r="R211" s="8">
        <f t="shared" si="3"/>
        <v>43544</v>
      </c>
    </row>
    <row r="212" spans="1:18" x14ac:dyDescent="0.35">
      <c r="A212" t="s">
        <v>431</v>
      </c>
      <c r="B212" t="s">
        <v>68</v>
      </c>
      <c r="C212" t="s">
        <v>69</v>
      </c>
      <c r="D212" t="s">
        <v>27</v>
      </c>
      <c r="E212" t="s">
        <v>21</v>
      </c>
      <c r="F212" t="s">
        <v>54</v>
      </c>
      <c r="G212">
        <v>76.650000000000006</v>
      </c>
      <c r="H212">
        <v>7</v>
      </c>
      <c r="I212">
        <v>26.83</v>
      </c>
      <c r="J212">
        <v>563.38</v>
      </c>
      <c r="K212" t="s">
        <v>291</v>
      </c>
      <c r="L212" t="s">
        <v>432</v>
      </c>
      <c r="M212" t="s">
        <v>45</v>
      </c>
      <c r="N212">
        <v>536.54999999999995</v>
      </c>
      <c r="O212">
        <v>4.7618999999999998</v>
      </c>
      <c r="P212">
        <v>26.83</v>
      </c>
      <c r="Q212">
        <v>8.5</v>
      </c>
      <c r="R212" s="8">
        <f t="shared" si="3"/>
        <v>43522</v>
      </c>
    </row>
    <row r="213" spans="1:18" x14ac:dyDescent="0.35">
      <c r="A213" t="s">
        <v>433</v>
      </c>
      <c r="B213" t="s">
        <v>68</v>
      </c>
      <c r="C213" t="s">
        <v>69</v>
      </c>
      <c r="D213" t="s">
        <v>20</v>
      </c>
      <c r="E213" t="s">
        <v>42</v>
      </c>
      <c r="F213" t="s">
        <v>54</v>
      </c>
      <c r="G213">
        <v>83.42</v>
      </c>
      <c r="H213">
        <v>10</v>
      </c>
      <c r="I213">
        <v>41.71</v>
      </c>
      <c r="J213">
        <v>875.91</v>
      </c>
      <c r="K213" t="s">
        <v>251</v>
      </c>
      <c r="L213" t="s">
        <v>184</v>
      </c>
      <c r="M213" t="s">
        <v>25</v>
      </c>
      <c r="N213">
        <v>834.2</v>
      </c>
      <c r="O213">
        <v>4.7618999999999998</v>
      </c>
      <c r="P213">
        <v>41.71</v>
      </c>
      <c r="Q213">
        <v>8.9</v>
      </c>
      <c r="R213" s="8">
        <f t="shared" si="3"/>
        <v>43506</v>
      </c>
    </row>
    <row r="214" spans="1:18" x14ac:dyDescent="0.35">
      <c r="A214" t="s">
        <v>434</v>
      </c>
      <c r="B214" t="s">
        <v>37</v>
      </c>
      <c r="C214" t="s">
        <v>38</v>
      </c>
      <c r="D214" t="s">
        <v>20</v>
      </c>
      <c r="E214" t="s">
        <v>21</v>
      </c>
      <c r="F214" t="s">
        <v>32</v>
      </c>
      <c r="G214">
        <v>37.049999999999997</v>
      </c>
      <c r="H214">
        <v>1</v>
      </c>
      <c r="I214">
        <v>1.85</v>
      </c>
      <c r="J214">
        <v>38.9</v>
      </c>
      <c r="K214" t="s">
        <v>121</v>
      </c>
      <c r="L214" t="s">
        <v>435</v>
      </c>
      <c r="M214" t="s">
        <v>45</v>
      </c>
      <c r="N214">
        <v>37.049999999999997</v>
      </c>
      <c r="O214">
        <v>4.7618999999999998</v>
      </c>
      <c r="P214">
        <v>1.85</v>
      </c>
      <c r="Q214">
        <v>7.8</v>
      </c>
      <c r="R214" s="8">
        <f t="shared" si="3"/>
        <v>43537</v>
      </c>
    </row>
    <row r="215" spans="1:18" x14ac:dyDescent="0.35">
      <c r="A215" t="s">
        <v>436</v>
      </c>
      <c r="B215" t="s">
        <v>18</v>
      </c>
      <c r="C215" t="s">
        <v>19</v>
      </c>
      <c r="D215" t="s">
        <v>27</v>
      </c>
      <c r="E215" t="s">
        <v>21</v>
      </c>
      <c r="F215" t="s">
        <v>61</v>
      </c>
      <c r="G215">
        <v>94.74</v>
      </c>
      <c r="H215">
        <v>7</v>
      </c>
      <c r="I215">
        <v>33.159999999999997</v>
      </c>
      <c r="J215">
        <v>696.34</v>
      </c>
      <c r="K215" t="s">
        <v>332</v>
      </c>
      <c r="L215" t="s">
        <v>246</v>
      </c>
      <c r="M215" t="s">
        <v>35</v>
      </c>
      <c r="N215">
        <v>663.18</v>
      </c>
      <c r="O215">
        <v>4.7618999999999998</v>
      </c>
      <c r="P215">
        <v>33.159999999999997</v>
      </c>
      <c r="Q215">
        <v>6.4</v>
      </c>
      <c r="R215" s="8">
        <f t="shared" si="3"/>
        <v>43533</v>
      </c>
    </row>
    <row r="216" spans="1:18" x14ac:dyDescent="0.35">
      <c r="A216" t="s">
        <v>437</v>
      </c>
      <c r="B216" t="s">
        <v>37</v>
      </c>
      <c r="C216" t="s">
        <v>38</v>
      </c>
      <c r="D216" t="s">
        <v>20</v>
      </c>
      <c r="E216" t="s">
        <v>42</v>
      </c>
      <c r="F216" t="s">
        <v>54</v>
      </c>
      <c r="G216">
        <v>86.44</v>
      </c>
      <c r="H216">
        <v>5</v>
      </c>
      <c r="I216">
        <v>21.61</v>
      </c>
      <c r="J216">
        <v>453.81</v>
      </c>
      <c r="K216" t="s">
        <v>58</v>
      </c>
      <c r="L216" t="s">
        <v>334</v>
      </c>
      <c r="M216" t="s">
        <v>25</v>
      </c>
      <c r="N216">
        <v>432.2</v>
      </c>
      <c r="O216">
        <v>4.7618999999999998</v>
      </c>
      <c r="P216">
        <v>21.61</v>
      </c>
      <c r="Q216">
        <v>6.5</v>
      </c>
      <c r="R216" s="8">
        <f t="shared" si="3"/>
        <v>43484</v>
      </c>
    </row>
    <row r="217" spans="1:18" x14ac:dyDescent="0.35">
      <c r="A217" t="s">
        <v>438</v>
      </c>
      <c r="B217" t="s">
        <v>18</v>
      </c>
      <c r="C217" t="s">
        <v>19</v>
      </c>
      <c r="D217" t="s">
        <v>20</v>
      </c>
      <c r="E217" t="s">
        <v>42</v>
      </c>
      <c r="F217" t="s">
        <v>54</v>
      </c>
      <c r="G217">
        <v>32.950000000000003</v>
      </c>
      <c r="H217">
        <v>6</v>
      </c>
      <c r="I217">
        <v>9.8800000000000008</v>
      </c>
      <c r="J217">
        <v>207.58</v>
      </c>
      <c r="K217" t="s">
        <v>439</v>
      </c>
      <c r="L217" t="s">
        <v>180</v>
      </c>
      <c r="M217" t="s">
        <v>35</v>
      </c>
      <c r="N217">
        <v>197.7</v>
      </c>
      <c r="O217">
        <v>4.7618999999999998</v>
      </c>
      <c r="P217">
        <v>9.8800000000000008</v>
      </c>
      <c r="Q217">
        <v>4.5999999999999996</v>
      </c>
      <c r="R217" s="8">
        <f t="shared" si="3"/>
        <v>43548</v>
      </c>
    </row>
    <row r="218" spans="1:18" x14ac:dyDescent="0.35">
      <c r="A218" t="s">
        <v>440</v>
      </c>
      <c r="B218" t="s">
        <v>68</v>
      </c>
      <c r="C218" t="s">
        <v>69</v>
      </c>
      <c r="D218" t="s">
        <v>20</v>
      </c>
      <c r="E218" t="s">
        <v>42</v>
      </c>
      <c r="F218" t="s">
        <v>32</v>
      </c>
      <c r="G218">
        <v>70.63</v>
      </c>
      <c r="H218">
        <v>10</v>
      </c>
      <c r="I218">
        <v>35.31</v>
      </c>
      <c r="J218">
        <v>741.61</v>
      </c>
      <c r="K218" t="s">
        <v>245</v>
      </c>
      <c r="L218" t="s">
        <v>224</v>
      </c>
      <c r="M218" t="s">
        <v>25</v>
      </c>
      <c r="N218">
        <v>706.3</v>
      </c>
      <c r="O218">
        <v>4.7618999999999998</v>
      </c>
      <c r="P218">
        <v>35.31</v>
      </c>
      <c r="Q218">
        <v>8.3000000000000007</v>
      </c>
      <c r="R218" s="8">
        <f t="shared" si="3"/>
        <v>43471</v>
      </c>
    </row>
    <row r="219" spans="1:18" x14ac:dyDescent="0.35">
      <c r="A219" t="s">
        <v>441</v>
      </c>
      <c r="B219" t="s">
        <v>68</v>
      </c>
      <c r="C219" t="s">
        <v>69</v>
      </c>
      <c r="D219" t="s">
        <v>27</v>
      </c>
      <c r="E219" t="s">
        <v>21</v>
      </c>
      <c r="F219" t="s">
        <v>61</v>
      </c>
      <c r="G219">
        <v>37.29</v>
      </c>
      <c r="H219">
        <v>1</v>
      </c>
      <c r="I219">
        <v>1.86</v>
      </c>
      <c r="J219">
        <v>39.15</v>
      </c>
      <c r="K219" t="s">
        <v>330</v>
      </c>
      <c r="L219" t="s">
        <v>44</v>
      </c>
      <c r="M219" t="s">
        <v>45</v>
      </c>
      <c r="N219">
        <v>37.29</v>
      </c>
      <c r="O219">
        <v>4.7618999999999998</v>
      </c>
      <c r="P219">
        <v>1.86</v>
      </c>
      <c r="Q219">
        <v>8.5</v>
      </c>
      <c r="R219" s="8">
        <f t="shared" si="3"/>
        <v>43493</v>
      </c>
    </row>
    <row r="220" spans="1:18" x14ac:dyDescent="0.35">
      <c r="A220" t="s">
        <v>442</v>
      </c>
      <c r="B220" t="s">
        <v>37</v>
      </c>
      <c r="C220" t="s">
        <v>38</v>
      </c>
      <c r="D220" t="s">
        <v>20</v>
      </c>
      <c r="E220" t="s">
        <v>21</v>
      </c>
      <c r="F220" t="s">
        <v>32</v>
      </c>
      <c r="G220">
        <v>92.36</v>
      </c>
      <c r="H220">
        <v>9</v>
      </c>
      <c r="I220">
        <v>41.56</v>
      </c>
      <c r="J220">
        <v>872.8</v>
      </c>
      <c r="K220" t="s">
        <v>266</v>
      </c>
      <c r="L220" t="s">
        <v>368</v>
      </c>
      <c r="M220" t="s">
        <v>35</v>
      </c>
      <c r="N220">
        <v>831.24</v>
      </c>
      <c r="O220">
        <v>4.7618999999999998</v>
      </c>
      <c r="P220">
        <v>41.56</v>
      </c>
      <c r="Q220">
        <v>7.2</v>
      </c>
      <c r="R220" s="8">
        <f t="shared" si="3"/>
        <v>43507</v>
      </c>
    </row>
    <row r="221" spans="1:18" x14ac:dyDescent="0.35">
      <c r="A221" t="s">
        <v>443</v>
      </c>
      <c r="B221" t="s">
        <v>37</v>
      </c>
      <c r="C221" t="s">
        <v>38</v>
      </c>
      <c r="D221" t="s">
        <v>27</v>
      </c>
      <c r="E221" t="s">
        <v>42</v>
      </c>
      <c r="F221" t="s">
        <v>50</v>
      </c>
      <c r="G221">
        <v>89.45</v>
      </c>
      <c r="H221">
        <v>8</v>
      </c>
      <c r="I221">
        <v>35.78</v>
      </c>
      <c r="J221">
        <v>751.38</v>
      </c>
      <c r="K221" t="s">
        <v>405</v>
      </c>
      <c r="L221" t="s">
        <v>134</v>
      </c>
      <c r="M221" t="s">
        <v>45</v>
      </c>
      <c r="N221">
        <v>715.6</v>
      </c>
      <c r="O221">
        <v>4.7618999999999998</v>
      </c>
      <c r="P221">
        <v>35.78</v>
      </c>
      <c r="Q221">
        <v>6.2</v>
      </c>
      <c r="R221" s="8">
        <f t="shared" si="3"/>
        <v>43478</v>
      </c>
    </row>
    <row r="222" spans="1:18" x14ac:dyDescent="0.35">
      <c r="A222" t="s">
        <v>444</v>
      </c>
      <c r="B222" t="s">
        <v>68</v>
      </c>
      <c r="C222" t="s">
        <v>69</v>
      </c>
      <c r="D222" t="s">
        <v>20</v>
      </c>
      <c r="E222" t="s">
        <v>21</v>
      </c>
      <c r="F222" t="s">
        <v>28</v>
      </c>
      <c r="G222">
        <v>33.47</v>
      </c>
      <c r="H222">
        <v>10</v>
      </c>
      <c r="I222">
        <v>16.73</v>
      </c>
      <c r="J222">
        <v>351.43</v>
      </c>
      <c r="K222" t="s">
        <v>102</v>
      </c>
      <c r="L222" t="s">
        <v>52</v>
      </c>
      <c r="M222" t="s">
        <v>45</v>
      </c>
      <c r="N222">
        <v>334.7</v>
      </c>
      <c r="O222">
        <v>4.7618999999999998</v>
      </c>
      <c r="P222">
        <v>16.73</v>
      </c>
      <c r="Q222">
        <v>5.2</v>
      </c>
      <c r="R222" s="8">
        <f t="shared" si="3"/>
        <v>43540</v>
      </c>
    </row>
    <row r="223" spans="1:18" x14ac:dyDescent="0.35">
      <c r="A223" t="s">
        <v>445</v>
      </c>
      <c r="B223" t="s">
        <v>37</v>
      </c>
      <c r="C223" t="s">
        <v>38</v>
      </c>
      <c r="D223" t="s">
        <v>20</v>
      </c>
      <c r="E223" t="s">
        <v>42</v>
      </c>
      <c r="F223" t="s">
        <v>50</v>
      </c>
      <c r="G223">
        <v>68.91</v>
      </c>
      <c r="H223">
        <v>6</v>
      </c>
      <c r="I223">
        <v>20.67</v>
      </c>
      <c r="J223">
        <v>434.13</v>
      </c>
      <c r="K223" t="s">
        <v>179</v>
      </c>
      <c r="L223" t="s">
        <v>152</v>
      </c>
      <c r="M223" t="s">
        <v>25</v>
      </c>
      <c r="N223">
        <v>413.46</v>
      </c>
      <c r="O223">
        <v>4.7618999999999998</v>
      </c>
      <c r="P223">
        <v>20.67</v>
      </c>
      <c r="Q223">
        <v>8.4</v>
      </c>
      <c r="R223" s="8">
        <f t="shared" si="3"/>
        <v>43498</v>
      </c>
    </row>
    <row r="224" spans="1:18" x14ac:dyDescent="0.35">
      <c r="A224" t="s">
        <v>446</v>
      </c>
      <c r="B224" t="s">
        <v>68</v>
      </c>
      <c r="C224" t="s">
        <v>69</v>
      </c>
      <c r="D224" t="s">
        <v>27</v>
      </c>
      <c r="E224" t="s">
        <v>21</v>
      </c>
      <c r="F224" t="s">
        <v>54</v>
      </c>
      <c r="G224">
        <v>74.83</v>
      </c>
      <c r="H224">
        <v>8</v>
      </c>
      <c r="I224">
        <v>29.93</v>
      </c>
      <c r="J224">
        <v>628.57000000000005</v>
      </c>
      <c r="K224" t="s">
        <v>93</v>
      </c>
      <c r="L224" t="s">
        <v>227</v>
      </c>
      <c r="M224" t="s">
        <v>45</v>
      </c>
      <c r="N224">
        <v>598.64</v>
      </c>
      <c r="O224">
        <v>4.7618999999999998</v>
      </c>
      <c r="P224">
        <v>29.93</v>
      </c>
      <c r="Q224">
        <v>7.1</v>
      </c>
      <c r="R224" s="8">
        <f t="shared" si="3"/>
        <v>43489</v>
      </c>
    </row>
    <row r="225" spans="1:18" x14ac:dyDescent="0.35">
      <c r="A225" t="s">
        <v>447</v>
      </c>
      <c r="B225" t="s">
        <v>68</v>
      </c>
      <c r="C225" t="s">
        <v>69</v>
      </c>
      <c r="D225" t="s">
        <v>20</v>
      </c>
      <c r="E225" t="s">
        <v>21</v>
      </c>
      <c r="F225" t="s">
        <v>32</v>
      </c>
      <c r="G225">
        <v>22.37</v>
      </c>
      <c r="H225">
        <v>4</v>
      </c>
      <c r="I225">
        <v>4.47</v>
      </c>
      <c r="J225">
        <v>93.95</v>
      </c>
      <c r="K225" t="s">
        <v>167</v>
      </c>
      <c r="L225" t="s">
        <v>154</v>
      </c>
      <c r="M225" t="s">
        <v>45</v>
      </c>
      <c r="N225">
        <v>89.48</v>
      </c>
      <c r="O225">
        <v>4.7618999999999998</v>
      </c>
      <c r="P225">
        <v>4.47</v>
      </c>
      <c r="Q225">
        <v>7</v>
      </c>
      <c r="R225" s="8">
        <f t="shared" si="3"/>
        <v>43474</v>
      </c>
    </row>
    <row r="226" spans="1:18" x14ac:dyDescent="0.35">
      <c r="A226" t="s">
        <v>448</v>
      </c>
      <c r="B226" t="s">
        <v>68</v>
      </c>
      <c r="C226" t="s">
        <v>69</v>
      </c>
      <c r="D226" t="s">
        <v>27</v>
      </c>
      <c r="E226" t="s">
        <v>42</v>
      </c>
      <c r="F226" t="s">
        <v>28</v>
      </c>
      <c r="G226">
        <v>10.6</v>
      </c>
      <c r="H226">
        <v>9</v>
      </c>
      <c r="I226">
        <v>4.7699999999999996</v>
      </c>
      <c r="J226">
        <v>100.17</v>
      </c>
      <c r="K226" t="s">
        <v>130</v>
      </c>
      <c r="L226" t="s">
        <v>449</v>
      </c>
      <c r="M226" t="s">
        <v>25</v>
      </c>
      <c r="N226">
        <v>95.4</v>
      </c>
      <c r="O226">
        <v>4.7618999999999998</v>
      </c>
      <c r="P226">
        <v>4.7699999999999996</v>
      </c>
      <c r="Q226">
        <v>8.3000000000000007</v>
      </c>
      <c r="R226" s="8">
        <f t="shared" si="3"/>
        <v>43518</v>
      </c>
    </row>
    <row r="227" spans="1:18" x14ac:dyDescent="0.35">
      <c r="A227" t="s">
        <v>450</v>
      </c>
      <c r="B227" t="s">
        <v>37</v>
      </c>
      <c r="C227" t="s">
        <v>38</v>
      </c>
      <c r="D227" t="s">
        <v>20</v>
      </c>
      <c r="E227" t="s">
        <v>42</v>
      </c>
      <c r="F227" t="s">
        <v>54</v>
      </c>
      <c r="G227">
        <v>19.63</v>
      </c>
      <c r="H227">
        <v>2</v>
      </c>
      <c r="I227">
        <v>1.96</v>
      </c>
      <c r="J227">
        <v>41.22</v>
      </c>
      <c r="K227" t="s">
        <v>332</v>
      </c>
      <c r="L227" t="s">
        <v>148</v>
      </c>
      <c r="M227" t="s">
        <v>45</v>
      </c>
      <c r="N227">
        <v>39.26</v>
      </c>
      <c r="O227">
        <v>4.7618999999999998</v>
      </c>
      <c r="P227">
        <v>1.96</v>
      </c>
      <c r="Q227">
        <v>7.7</v>
      </c>
      <c r="R227" s="8">
        <f t="shared" si="3"/>
        <v>43533</v>
      </c>
    </row>
    <row r="228" spans="1:18" x14ac:dyDescent="0.35">
      <c r="A228" t="s">
        <v>451</v>
      </c>
      <c r="B228" t="s">
        <v>37</v>
      </c>
      <c r="C228" t="s">
        <v>38</v>
      </c>
      <c r="D228" t="s">
        <v>27</v>
      </c>
      <c r="E228" t="s">
        <v>42</v>
      </c>
      <c r="F228" t="s">
        <v>28</v>
      </c>
      <c r="G228">
        <v>43.57</v>
      </c>
      <c r="H228">
        <v>7</v>
      </c>
      <c r="I228">
        <v>15.25</v>
      </c>
      <c r="J228">
        <v>320.24</v>
      </c>
      <c r="K228" t="s">
        <v>202</v>
      </c>
      <c r="L228" t="s">
        <v>143</v>
      </c>
      <c r="M228" t="s">
        <v>25</v>
      </c>
      <c r="N228">
        <v>304.99</v>
      </c>
      <c r="O228">
        <v>4.7618999999999998</v>
      </c>
      <c r="P228">
        <v>15.25</v>
      </c>
      <c r="Q228">
        <v>5.4</v>
      </c>
      <c r="R228" s="8">
        <f t="shared" si="3"/>
        <v>43524</v>
      </c>
    </row>
    <row r="229" spans="1:18" x14ac:dyDescent="0.35">
      <c r="A229" t="s">
        <v>452</v>
      </c>
      <c r="B229" t="s">
        <v>68</v>
      </c>
      <c r="C229" t="s">
        <v>69</v>
      </c>
      <c r="D229" t="s">
        <v>20</v>
      </c>
      <c r="E229" t="s">
        <v>21</v>
      </c>
      <c r="F229" t="s">
        <v>32</v>
      </c>
      <c r="G229">
        <v>44.13</v>
      </c>
      <c r="H229">
        <v>9</v>
      </c>
      <c r="I229">
        <v>19.86</v>
      </c>
      <c r="J229">
        <v>417.03</v>
      </c>
      <c r="K229" t="s">
        <v>226</v>
      </c>
      <c r="L229" t="s">
        <v>236</v>
      </c>
      <c r="M229" t="s">
        <v>45</v>
      </c>
      <c r="N229">
        <v>397.17</v>
      </c>
      <c r="O229">
        <v>4.7618999999999998</v>
      </c>
      <c r="P229">
        <v>19.86</v>
      </c>
      <c r="Q229">
        <v>8.1999999999999993</v>
      </c>
      <c r="R229" s="8">
        <f t="shared" si="3"/>
        <v>43526</v>
      </c>
    </row>
    <row r="230" spans="1:18" x14ac:dyDescent="0.35">
      <c r="A230" t="s">
        <v>453</v>
      </c>
      <c r="B230" t="s">
        <v>37</v>
      </c>
      <c r="C230" t="s">
        <v>38</v>
      </c>
      <c r="D230" t="s">
        <v>27</v>
      </c>
      <c r="E230" t="s">
        <v>42</v>
      </c>
      <c r="F230" t="s">
        <v>50</v>
      </c>
      <c r="G230">
        <v>97.96</v>
      </c>
      <c r="H230">
        <v>2</v>
      </c>
      <c r="I230">
        <v>9.8000000000000007</v>
      </c>
      <c r="J230">
        <v>205.72</v>
      </c>
      <c r="K230" t="s">
        <v>332</v>
      </c>
      <c r="L230" t="s">
        <v>430</v>
      </c>
      <c r="M230" t="s">
        <v>45</v>
      </c>
      <c r="N230">
        <v>195.92</v>
      </c>
      <c r="O230">
        <v>4.7618999999999998</v>
      </c>
      <c r="P230">
        <v>9.8000000000000007</v>
      </c>
      <c r="Q230">
        <v>9.4</v>
      </c>
      <c r="R230" s="8">
        <f t="shared" si="3"/>
        <v>43533</v>
      </c>
    </row>
    <row r="231" spans="1:18" x14ac:dyDescent="0.35">
      <c r="A231" t="s">
        <v>454</v>
      </c>
      <c r="B231" t="s">
        <v>18</v>
      </c>
      <c r="C231" t="s">
        <v>19</v>
      </c>
      <c r="D231" t="s">
        <v>27</v>
      </c>
      <c r="E231" t="s">
        <v>42</v>
      </c>
      <c r="F231" t="s">
        <v>28</v>
      </c>
      <c r="G231">
        <v>93.17</v>
      </c>
      <c r="H231">
        <v>5</v>
      </c>
      <c r="I231">
        <v>23.29</v>
      </c>
      <c r="J231">
        <v>489.14</v>
      </c>
      <c r="K231" t="s">
        <v>281</v>
      </c>
      <c r="L231" t="s">
        <v>114</v>
      </c>
      <c r="M231" t="s">
        <v>45</v>
      </c>
      <c r="N231">
        <v>465.85</v>
      </c>
      <c r="O231">
        <v>4.7618999999999998</v>
      </c>
      <c r="P231">
        <v>23.29</v>
      </c>
      <c r="Q231">
        <v>5.0999999999999996</v>
      </c>
      <c r="R231" s="8">
        <f t="shared" si="3"/>
        <v>43535</v>
      </c>
    </row>
    <row r="232" spans="1:18" x14ac:dyDescent="0.35">
      <c r="A232" t="s">
        <v>455</v>
      </c>
      <c r="B232" t="s">
        <v>37</v>
      </c>
      <c r="C232" t="s">
        <v>38</v>
      </c>
      <c r="D232" t="s">
        <v>20</v>
      </c>
      <c r="E232" t="s">
        <v>21</v>
      </c>
      <c r="F232" t="s">
        <v>50</v>
      </c>
      <c r="G232">
        <v>22.98</v>
      </c>
      <c r="H232">
        <v>7</v>
      </c>
      <c r="I232">
        <v>8.0399999999999991</v>
      </c>
      <c r="J232">
        <v>168.9</v>
      </c>
      <c r="K232" t="s">
        <v>85</v>
      </c>
      <c r="L232" t="s">
        <v>59</v>
      </c>
      <c r="M232" t="s">
        <v>25</v>
      </c>
      <c r="N232">
        <v>160.86000000000001</v>
      </c>
      <c r="O232">
        <v>4.7618999999999998</v>
      </c>
      <c r="P232">
        <v>8.0399999999999991</v>
      </c>
      <c r="Q232">
        <v>5.4</v>
      </c>
      <c r="R232" s="8">
        <f t="shared" si="3"/>
        <v>43475</v>
      </c>
    </row>
    <row r="233" spans="1:18" x14ac:dyDescent="0.35">
      <c r="A233" t="s">
        <v>456</v>
      </c>
      <c r="B233" t="s">
        <v>37</v>
      </c>
      <c r="C233" t="s">
        <v>38</v>
      </c>
      <c r="D233" t="s">
        <v>27</v>
      </c>
      <c r="E233" t="s">
        <v>42</v>
      </c>
      <c r="F233" t="s">
        <v>22</v>
      </c>
      <c r="G233">
        <v>22.6</v>
      </c>
      <c r="H233">
        <v>2</v>
      </c>
      <c r="I233">
        <v>2.2599999999999998</v>
      </c>
      <c r="J233">
        <v>47.46</v>
      </c>
      <c r="K233" t="s">
        <v>29</v>
      </c>
      <c r="L233" t="s">
        <v>255</v>
      </c>
      <c r="M233" t="s">
        <v>45</v>
      </c>
      <c r="N233">
        <v>45.2</v>
      </c>
      <c r="O233">
        <v>4.7618999999999998</v>
      </c>
      <c r="P233">
        <v>2.2599999999999998</v>
      </c>
      <c r="Q233">
        <v>6.6</v>
      </c>
      <c r="R233" s="8">
        <f t="shared" si="3"/>
        <v>43530</v>
      </c>
    </row>
    <row r="234" spans="1:18" x14ac:dyDescent="0.35">
      <c r="A234" t="s">
        <v>457</v>
      </c>
      <c r="B234" t="s">
        <v>68</v>
      </c>
      <c r="C234" t="s">
        <v>69</v>
      </c>
      <c r="D234" t="s">
        <v>27</v>
      </c>
      <c r="E234" t="s">
        <v>42</v>
      </c>
      <c r="F234" t="s">
        <v>61</v>
      </c>
      <c r="G234">
        <v>12.67</v>
      </c>
      <c r="H234">
        <v>5</v>
      </c>
      <c r="I234">
        <v>3.17</v>
      </c>
      <c r="J234">
        <v>66.52</v>
      </c>
      <c r="K234" t="s">
        <v>322</v>
      </c>
      <c r="L234" t="s">
        <v>194</v>
      </c>
      <c r="M234" t="s">
        <v>35</v>
      </c>
      <c r="N234">
        <v>63.35</v>
      </c>
      <c r="O234">
        <v>4.7618999999999998</v>
      </c>
      <c r="P234">
        <v>3.17</v>
      </c>
      <c r="Q234">
        <v>7.3</v>
      </c>
      <c r="R234" s="8">
        <f t="shared" si="3"/>
        <v>43523</v>
      </c>
    </row>
    <row r="235" spans="1:18" x14ac:dyDescent="0.35">
      <c r="A235" t="s">
        <v>458</v>
      </c>
      <c r="B235" t="s">
        <v>37</v>
      </c>
      <c r="C235" t="s">
        <v>38</v>
      </c>
      <c r="D235" t="s">
        <v>20</v>
      </c>
      <c r="E235" t="s">
        <v>42</v>
      </c>
      <c r="F235" t="s">
        <v>28</v>
      </c>
      <c r="G235">
        <v>79.5</v>
      </c>
      <c r="H235">
        <v>5</v>
      </c>
      <c r="I235">
        <v>19.88</v>
      </c>
      <c r="J235">
        <v>417.38</v>
      </c>
      <c r="K235" t="s">
        <v>182</v>
      </c>
      <c r="L235" t="s">
        <v>88</v>
      </c>
      <c r="M235" t="s">
        <v>35</v>
      </c>
      <c r="N235">
        <v>397.5</v>
      </c>
      <c r="O235">
        <v>4.7618999999999998</v>
      </c>
      <c r="P235">
        <v>19.88</v>
      </c>
      <c r="Q235">
        <v>4.9000000000000004</v>
      </c>
      <c r="R235" s="8">
        <f t="shared" si="3"/>
        <v>43497</v>
      </c>
    </row>
    <row r="236" spans="1:18" x14ac:dyDescent="0.35">
      <c r="A236" t="s">
        <v>459</v>
      </c>
      <c r="B236" t="s">
        <v>18</v>
      </c>
      <c r="C236" t="s">
        <v>19</v>
      </c>
      <c r="D236" t="s">
        <v>20</v>
      </c>
      <c r="E236" t="s">
        <v>42</v>
      </c>
      <c r="F236" t="s">
        <v>61</v>
      </c>
      <c r="G236">
        <v>42.46</v>
      </c>
      <c r="H236">
        <v>2</v>
      </c>
      <c r="I236">
        <v>4.25</v>
      </c>
      <c r="J236">
        <v>89.17</v>
      </c>
      <c r="K236" t="s">
        <v>422</v>
      </c>
      <c r="L236" t="s">
        <v>94</v>
      </c>
      <c r="M236" t="s">
        <v>35</v>
      </c>
      <c r="N236">
        <v>84.92</v>
      </c>
      <c r="O236">
        <v>4.7618999999999998</v>
      </c>
      <c r="P236">
        <v>4.25</v>
      </c>
      <c r="Q236">
        <v>8.6</v>
      </c>
      <c r="R236" s="8">
        <f t="shared" si="3"/>
        <v>43466</v>
      </c>
    </row>
    <row r="237" spans="1:18" x14ac:dyDescent="0.35">
      <c r="A237" t="s">
        <v>460</v>
      </c>
      <c r="B237" t="s">
        <v>68</v>
      </c>
      <c r="C237" t="s">
        <v>69</v>
      </c>
      <c r="D237" t="s">
        <v>20</v>
      </c>
      <c r="E237" t="s">
        <v>21</v>
      </c>
      <c r="F237" t="s">
        <v>32</v>
      </c>
      <c r="G237">
        <v>50.4</v>
      </c>
      <c r="H237">
        <v>9</v>
      </c>
      <c r="I237">
        <v>22.68</v>
      </c>
      <c r="J237">
        <v>476.28</v>
      </c>
      <c r="K237" t="s">
        <v>62</v>
      </c>
      <c r="L237" t="s">
        <v>277</v>
      </c>
      <c r="M237" t="s">
        <v>45</v>
      </c>
      <c r="N237">
        <v>453.6</v>
      </c>
      <c r="O237">
        <v>4.7618999999999998</v>
      </c>
      <c r="P237">
        <v>22.68</v>
      </c>
      <c r="Q237">
        <v>4.5</v>
      </c>
      <c r="R237" s="8">
        <f t="shared" si="3"/>
        <v>43531</v>
      </c>
    </row>
    <row r="238" spans="1:18" x14ac:dyDescent="0.35">
      <c r="A238" t="s">
        <v>461</v>
      </c>
      <c r="B238" t="s">
        <v>68</v>
      </c>
      <c r="C238" t="s">
        <v>69</v>
      </c>
      <c r="D238" t="s">
        <v>27</v>
      </c>
      <c r="E238" t="s">
        <v>42</v>
      </c>
      <c r="F238" t="s">
        <v>28</v>
      </c>
      <c r="G238">
        <v>36.270000000000003</v>
      </c>
      <c r="H238">
        <v>7</v>
      </c>
      <c r="I238">
        <v>12.69</v>
      </c>
      <c r="J238">
        <v>266.58</v>
      </c>
      <c r="K238" t="s">
        <v>107</v>
      </c>
      <c r="L238" t="s">
        <v>83</v>
      </c>
      <c r="M238" t="s">
        <v>25</v>
      </c>
      <c r="N238">
        <v>253.89</v>
      </c>
      <c r="O238">
        <v>4.7618999999999998</v>
      </c>
      <c r="P238">
        <v>12.69</v>
      </c>
      <c r="Q238">
        <v>7.1</v>
      </c>
      <c r="R238" s="8">
        <f t="shared" si="3"/>
        <v>43476</v>
      </c>
    </row>
    <row r="239" spans="1:18" x14ac:dyDescent="0.35">
      <c r="A239" t="s">
        <v>462</v>
      </c>
      <c r="B239" t="s">
        <v>37</v>
      </c>
      <c r="C239" t="s">
        <v>38</v>
      </c>
      <c r="D239" t="s">
        <v>20</v>
      </c>
      <c r="E239" t="s">
        <v>21</v>
      </c>
      <c r="F239" t="s">
        <v>61</v>
      </c>
      <c r="G239">
        <v>37.1</v>
      </c>
      <c r="H239">
        <v>8</v>
      </c>
      <c r="I239">
        <v>14.84</v>
      </c>
      <c r="J239">
        <v>311.64</v>
      </c>
      <c r="K239" t="s">
        <v>58</v>
      </c>
      <c r="L239" t="s">
        <v>463</v>
      </c>
      <c r="M239" t="s">
        <v>35</v>
      </c>
      <c r="N239">
        <v>296.8</v>
      </c>
      <c r="O239">
        <v>4.7618999999999998</v>
      </c>
      <c r="P239">
        <v>14.84</v>
      </c>
      <c r="Q239">
        <v>5.7</v>
      </c>
      <c r="R239" s="8">
        <f t="shared" si="3"/>
        <v>43484</v>
      </c>
    </row>
    <row r="240" spans="1:18" x14ac:dyDescent="0.35">
      <c r="A240" t="s">
        <v>464</v>
      </c>
      <c r="B240" t="s">
        <v>37</v>
      </c>
      <c r="C240" t="s">
        <v>38</v>
      </c>
      <c r="D240" t="s">
        <v>20</v>
      </c>
      <c r="E240" t="s">
        <v>42</v>
      </c>
      <c r="F240" t="s">
        <v>61</v>
      </c>
      <c r="G240">
        <v>94.98</v>
      </c>
      <c r="H240">
        <v>8</v>
      </c>
      <c r="I240">
        <v>37.99</v>
      </c>
      <c r="J240">
        <v>797.83</v>
      </c>
      <c r="K240" t="s">
        <v>65</v>
      </c>
      <c r="L240" t="s">
        <v>143</v>
      </c>
      <c r="M240" t="s">
        <v>35</v>
      </c>
      <c r="N240">
        <v>759.84</v>
      </c>
      <c r="O240">
        <v>4.7618999999999998</v>
      </c>
      <c r="P240">
        <v>37.99</v>
      </c>
      <c r="Q240">
        <v>4.5999999999999996</v>
      </c>
      <c r="R240" s="8">
        <f t="shared" si="3"/>
        <v>43542</v>
      </c>
    </row>
    <row r="241" spans="1:18" x14ac:dyDescent="0.35">
      <c r="A241" t="s">
        <v>465</v>
      </c>
      <c r="B241" t="s">
        <v>68</v>
      </c>
      <c r="C241" t="s">
        <v>69</v>
      </c>
      <c r="D241" t="s">
        <v>27</v>
      </c>
      <c r="E241" t="s">
        <v>42</v>
      </c>
      <c r="F241" t="s">
        <v>50</v>
      </c>
      <c r="G241">
        <v>44.19</v>
      </c>
      <c r="H241">
        <v>6</v>
      </c>
      <c r="I241">
        <v>13.26</v>
      </c>
      <c r="J241">
        <v>278.39999999999998</v>
      </c>
      <c r="K241" t="s">
        <v>291</v>
      </c>
      <c r="L241" t="s">
        <v>466</v>
      </c>
      <c r="M241" t="s">
        <v>25</v>
      </c>
      <c r="N241">
        <v>265.14</v>
      </c>
      <c r="O241">
        <v>4.7618999999999998</v>
      </c>
      <c r="P241">
        <v>13.26</v>
      </c>
      <c r="Q241">
        <v>9.8000000000000007</v>
      </c>
      <c r="R241" s="8">
        <f t="shared" si="3"/>
        <v>43522</v>
      </c>
    </row>
    <row r="242" spans="1:18" x14ac:dyDescent="0.35">
      <c r="A242" t="s">
        <v>467</v>
      </c>
      <c r="B242" t="s">
        <v>37</v>
      </c>
      <c r="C242" t="s">
        <v>38</v>
      </c>
      <c r="D242" t="s">
        <v>27</v>
      </c>
      <c r="E242" t="s">
        <v>21</v>
      </c>
      <c r="F242" t="s">
        <v>32</v>
      </c>
      <c r="G242">
        <v>38.28</v>
      </c>
      <c r="H242">
        <v>7</v>
      </c>
      <c r="I242">
        <v>13.4</v>
      </c>
      <c r="J242">
        <v>281.36</v>
      </c>
      <c r="K242" t="s">
        <v>251</v>
      </c>
      <c r="L242" t="s">
        <v>326</v>
      </c>
      <c r="M242" t="s">
        <v>25</v>
      </c>
      <c r="N242">
        <v>267.95999999999998</v>
      </c>
      <c r="O242">
        <v>4.7618999999999998</v>
      </c>
      <c r="P242">
        <v>13.4</v>
      </c>
      <c r="Q242">
        <v>7.8</v>
      </c>
      <c r="R242" s="8">
        <f t="shared" si="3"/>
        <v>43506</v>
      </c>
    </row>
    <row r="243" spans="1:18" x14ac:dyDescent="0.35">
      <c r="A243" t="s">
        <v>468</v>
      </c>
      <c r="B243" t="s">
        <v>68</v>
      </c>
      <c r="C243" t="s">
        <v>69</v>
      </c>
      <c r="D243" t="s">
        <v>27</v>
      </c>
      <c r="E243" t="s">
        <v>42</v>
      </c>
      <c r="F243" t="s">
        <v>61</v>
      </c>
      <c r="G243">
        <v>83.48</v>
      </c>
      <c r="H243">
        <v>7</v>
      </c>
      <c r="I243">
        <v>29.22</v>
      </c>
      <c r="J243">
        <v>613.58000000000004</v>
      </c>
      <c r="K243" t="s">
        <v>233</v>
      </c>
      <c r="L243" t="s">
        <v>105</v>
      </c>
      <c r="M243" t="s">
        <v>45</v>
      </c>
      <c r="N243">
        <v>584.36</v>
      </c>
      <c r="O243">
        <v>4.7618999999999998</v>
      </c>
      <c r="P243">
        <v>29.22</v>
      </c>
      <c r="Q243">
        <v>7.6</v>
      </c>
      <c r="R243" s="8">
        <f t="shared" si="3"/>
        <v>43512</v>
      </c>
    </row>
    <row r="244" spans="1:18" x14ac:dyDescent="0.35">
      <c r="A244" t="s">
        <v>469</v>
      </c>
      <c r="B244" t="s">
        <v>68</v>
      </c>
      <c r="C244" t="s">
        <v>69</v>
      </c>
      <c r="D244" t="s">
        <v>20</v>
      </c>
      <c r="E244" t="s">
        <v>42</v>
      </c>
      <c r="F244" t="s">
        <v>22</v>
      </c>
      <c r="G244">
        <v>28.87</v>
      </c>
      <c r="H244">
        <v>5</v>
      </c>
      <c r="I244">
        <v>7.22</v>
      </c>
      <c r="J244">
        <v>151.57</v>
      </c>
      <c r="K244" t="s">
        <v>470</v>
      </c>
      <c r="L244" t="s">
        <v>210</v>
      </c>
      <c r="M244" t="s">
        <v>25</v>
      </c>
      <c r="N244">
        <v>144.35</v>
      </c>
      <c r="O244">
        <v>4.7618999999999998</v>
      </c>
      <c r="P244">
        <v>7.22</v>
      </c>
      <c r="Q244">
        <v>7</v>
      </c>
      <c r="R244" s="8">
        <f t="shared" si="3"/>
        <v>43554</v>
      </c>
    </row>
    <row r="245" spans="1:18" x14ac:dyDescent="0.35">
      <c r="A245" t="s">
        <v>471</v>
      </c>
      <c r="B245" t="s">
        <v>37</v>
      </c>
      <c r="C245" t="s">
        <v>38</v>
      </c>
      <c r="D245" t="s">
        <v>20</v>
      </c>
      <c r="E245" t="s">
        <v>42</v>
      </c>
      <c r="F245" t="s">
        <v>22</v>
      </c>
      <c r="G245">
        <v>23.87</v>
      </c>
      <c r="H245">
        <v>7</v>
      </c>
      <c r="I245">
        <v>8.35</v>
      </c>
      <c r="J245">
        <v>175.44</v>
      </c>
      <c r="K245" t="s">
        <v>425</v>
      </c>
      <c r="L245" t="s">
        <v>180</v>
      </c>
      <c r="M245" t="s">
        <v>25</v>
      </c>
      <c r="N245">
        <v>167.09</v>
      </c>
      <c r="O245">
        <v>4.7618999999999998</v>
      </c>
      <c r="P245">
        <v>8.35</v>
      </c>
      <c r="Q245">
        <v>6.9</v>
      </c>
      <c r="R245" s="8">
        <f t="shared" si="3"/>
        <v>43514</v>
      </c>
    </row>
    <row r="246" spans="1:18" x14ac:dyDescent="0.35">
      <c r="A246" t="s">
        <v>472</v>
      </c>
      <c r="B246" t="s">
        <v>18</v>
      </c>
      <c r="C246" t="s">
        <v>19</v>
      </c>
      <c r="D246" t="s">
        <v>27</v>
      </c>
      <c r="E246" t="s">
        <v>21</v>
      </c>
      <c r="F246" t="s">
        <v>61</v>
      </c>
      <c r="G246">
        <v>73.150000000000006</v>
      </c>
      <c r="H246">
        <v>9</v>
      </c>
      <c r="I246">
        <v>32.92</v>
      </c>
      <c r="J246">
        <v>691.27</v>
      </c>
      <c r="K246" t="s">
        <v>65</v>
      </c>
      <c r="L246" t="s">
        <v>473</v>
      </c>
      <c r="M246" t="s">
        <v>45</v>
      </c>
      <c r="N246">
        <v>658.35</v>
      </c>
      <c r="O246">
        <v>4.7618999999999998</v>
      </c>
      <c r="P246">
        <v>32.92</v>
      </c>
      <c r="Q246">
        <v>8.6</v>
      </c>
      <c r="R246" s="8">
        <f t="shared" si="3"/>
        <v>43542</v>
      </c>
    </row>
    <row r="247" spans="1:18" x14ac:dyDescent="0.35">
      <c r="A247" t="s">
        <v>474</v>
      </c>
      <c r="B247" t="s">
        <v>18</v>
      </c>
      <c r="C247" t="s">
        <v>19</v>
      </c>
      <c r="D247" t="s">
        <v>27</v>
      </c>
      <c r="E247" t="s">
        <v>21</v>
      </c>
      <c r="F247" t="s">
        <v>22</v>
      </c>
      <c r="G247">
        <v>65.14</v>
      </c>
      <c r="H247">
        <v>10</v>
      </c>
      <c r="I247">
        <v>32.57</v>
      </c>
      <c r="J247">
        <v>683.97</v>
      </c>
      <c r="K247" t="s">
        <v>439</v>
      </c>
      <c r="L247" t="s">
        <v>352</v>
      </c>
      <c r="M247" t="s">
        <v>35</v>
      </c>
      <c r="N247">
        <v>651.4</v>
      </c>
      <c r="O247">
        <v>4.7618999999999998</v>
      </c>
      <c r="P247">
        <v>32.57</v>
      </c>
      <c r="Q247">
        <v>9.8000000000000007</v>
      </c>
      <c r="R247" s="8">
        <f t="shared" si="3"/>
        <v>43548</v>
      </c>
    </row>
    <row r="248" spans="1:18" x14ac:dyDescent="0.35">
      <c r="A248" t="s">
        <v>475</v>
      </c>
      <c r="B248" t="s">
        <v>37</v>
      </c>
      <c r="C248" t="s">
        <v>38</v>
      </c>
      <c r="D248" t="s">
        <v>20</v>
      </c>
      <c r="E248" t="s">
        <v>21</v>
      </c>
      <c r="F248" t="s">
        <v>28</v>
      </c>
      <c r="G248">
        <v>33.29</v>
      </c>
      <c r="H248">
        <v>9</v>
      </c>
      <c r="I248">
        <v>14.98</v>
      </c>
      <c r="J248">
        <v>314.58999999999997</v>
      </c>
      <c r="K248" t="s">
        <v>339</v>
      </c>
      <c r="L248" t="s">
        <v>73</v>
      </c>
      <c r="M248" t="s">
        <v>25</v>
      </c>
      <c r="N248">
        <v>299.61</v>
      </c>
      <c r="O248">
        <v>4.7618999999999998</v>
      </c>
      <c r="P248">
        <v>14.98</v>
      </c>
      <c r="Q248">
        <v>7.5</v>
      </c>
      <c r="R248" s="8">
        <f t="shared" si="3"/>
        <v>43532</v>
      </c>
    </row>
    <row r="249" spans="1:18" x14ac:dyDescent="0.35">
      <c r="A249" t="s">
        <v>476</v>
      </c>
      <c r="B249" t="s">
        <v>37</v>
      </c>
      <c r="C249" t="s">
        <v>38</v>
      </c>
      <c r="D249" t="s">
        <v>27</v>
      </c>
      <c r="E249" t="s">
        <v>42</v>
      </c>
      <c r="F249" t="s">
        <v>22</v>
      </c>
      <c r="G249">
        <v>62.97</v>
      </c>
      <c r="H249">
        <v>9</v>
      </c>
      <c r="I249">
        <v>28.34</v>
      </c>
      <c r="J249">
        <v>595.07000000000005</v>
      </c>
      <c r="K249" t="s">
        <v>477</v>
      </c>
      <c r="L249" t="s">
        <v>255</v>
      </c>
      <c r="M249" t="s">
        <v>35</v>
      </c>
      <c r="N249">
        <v>566.73</v>
      </c>
      <c r="O249">
        <v>4.7618999999999998</v>
      </c>
      <c r="P249">
        <v>28.34</v>
      </c>
      <c r="Q249">
        <v>4.5999999999999996</v>
      </c>
      <c r="R249" s="8">
        <f t="shared" si="3"/>
        <v>43485</v>
      </c>
    </row>
    <row r="250" spans="1:18" x14ac:dyDescent="0.35">
      <c r="A250" t="s">
        <v>478</v>
      </c>
      <c r="B250" t="s">
        <v>68</v>
      </c>
      <c r="C250" t="s">
        <v>69</v>
      </c>
      <c r="D250" t="s">
        <v>20</v>
      </c>
      <c r="E250" t="s">
        <v>21</v>
      </c>
      <c r="F250" t="s">
        <v>61</v>
      </c>
      <c r="G250">
        <v>38.07</v>
      </c>
      <c r="H250">
        <v>8</v>
      </c>
      <c r="I250">
        <v>15.23</v>
      </c>
      <c r="J250">
        <v>319.79000000000002</v>
      </c>
      <c r="K250" t="s">
        <v>479</v>
      </c>
      <c r="L250" t="s">
        <v>192</v>
      </c>
      <c r="M250" t="s">
        <v>35</v>
      </c>
      <c r="N250">
        <v>304.56</v>
      </c>
      <c r="O250">
        <v>4.7618999999999998</v>
      </c>
      <c r="P250">
        <v>15.23</v>
      </c>
      <c r="Q250">
        <v>6.9</v>
      </c>
      <c r="R250" s="8">
        <f t="shared" si="3"/>
        <v>43492</v>
      </c>
    </row>
    <row r="251" spans="1:18" x14ac:dyDescent="0.35">
      <c r="A251" t="s">
        <v>480</v>
      </c>
      <c r="B251" t="s">
        <v>18</v>
      </c>
      <c r="C251" t="s">
        <v>19</v>
      </c>
      <c r="D251" t="s">
        <v>27</v>
      </c>
      <c r="E251" t="s">
        <v>42</v>
      </c>
      <c r="F251" t="s">
        <v>28</v>
      </c>
      <c r="G251">
        <v>37.020000000000003</v>
      </c>
      <c r="H251">
        <v>2</v>
      </c>
      <c r="I251">
        <v>3.7</v>
      </c>
      <c r="J251">
        <v>77.739999999999995</v>
      </c>
      <c r="K251" t="s">
        <v>170</v>
      </c>
      <c r="L251" t="s">
        <v>146</v>
      </c>
      <c r="M251" t="s">
        <v>45</v>
      </c>
      <c r="N251">
        <v>74.040000000000006</v>
      </c>
      <c r="O251">
        <v>4.7618999999999998</v>
      </c>
      <c r="P251">
        <v>3.7</v>
      </c>
      <c r="Q251">
        <v>8.1</v>
      </c>
      <c r="R251" s="8">
        <f t="shared" si="3"/>
        <v>43468</v>
      </c>
    </row>
    <row r="252" spans="1:18" x14ac:dyDescent="0.35">
      <c r="A252" t="s">
        <v>481</v>
      </c>
      <c r="B252" t="s">
        <v>18</v>
      </c>
      <c r="C252" t="s">
        <v>19</v>
      </c>
      <c r="D252" t="s">
        <v>20</v>
      </c>
      <c r="E252" t="s">
        <v>21</v>
      </c>
      <c r="F252" t="s">
        <v>50</v>
      </c>
      <c r="G252">
        <v>24.41</v>
      </c>
      <c r="H252">
        <v>9</v>
      </c>
      <c r="I252">
        <v>10.98</v>
      </c>
      <c r="J252">
        <v>230.67</v>
      </c>
      <c r="K252" t="s">
        <v>482</v>
      </c>
      <c r="L252" t="s">
        <v>194</v>
      </c>
      <c r="M252" t="s">
        <v>35</v>
      </c>
      <c r="N252">
        <v>219.69</v>
      </c>
      <c r="O252">
        <v>4.7618999999999998</v>
      </c>
      <c r="P252">
        <v>10.98</v>
      </c>
      <c r="Q252">
        <v>7.8</v>
      </c>
      <c r="R252" s="8">
        <f t="shared" si="3"/>
        <v>43520</v>
      </c>
    </row>
    <row r="253" spans="1:18" x14ac:dyDescent="0.35">
      <c r="A253" t="s">
        <v>483</v>
      </c>
      <c r="B253" t="s">
        <v>18</v>
      </c>
      <c r="C253" t="s">
        <v>19</v>
      </c>
      <c r="D253" t="s">
        <v>27</v>
      </c>
      <c r="E253" t="s">
        <v>42</v>
      </c>
      <c r="F253" t="s">
        <v>28</v>
      </c>
      <c r="G253">
        <v>76.36</v>
      </c>
      <c r="H253">
        <v>4</v>
      </c>
      <c r="I253">
        <v>15.27</v>
      </c>
      <c r="J253">
        <v>320.70999999999998</v>
      </c>
      <c r="K253" t="s">
        <v>322</v>
      </c>
      <c r="L253" t="s">
        <v>171</v>
      </c>
      <c r="M253" t="s">
        <v>35</v>
      </c>
      <c r="N253">
        <v>305.44</v>
      </c>
      <c r="O253">
        <v>4.7618999999999998</v>
      </c>
      <c r="P253">
        <v>15.27</v>
      </c>
      <c r="Q253">
        <v>4</v>
      </c>
      <c r="R253" s="8">
        <f t="shared" si="3"/>
        <v>43523</v>
      </c>
    </row>
    <row r="254" spans="1:18" x14ac:dyDescent="0.35">
      <c r="A254" t="s">
        <v>484</v>
      </c>
      <c r="B254" t="s">
        <v>68</v>
      </c>
      <c r="C254" t="s">
        <v>69</v>
      </c>
      <c r="D254" t="s">
        <v>27</v>
      </c>
      <c r="E254" t="s">
        <v>21</v>
      </c>
      <c r="F254" t="s">
        <v>50</v>
      </c>
      <c r="G254">
        <v>19.16</v>
      </c>
      <c r="H254">
        <v>9</v>
      </c>
      <c r="I254">
        <v>8.6199999999999992</v>
      </c>
      <c r="J254">
        <v>181.06</v>
      </c>
      <c r="K254" t="s">
        <v>93</v>
      </c>
      <c r="L254" t="s">
        <v>485</v>
      </c>
      <c r="M254" t="s">
        <v>45</v>
      </c>
      <c r="N254">
        <v>172.44</v>
      </c>
      <c r="O254">
        <v>4.7618999999999998</v>
      </c>
      <c r="P254">
        <v>8.6199999999999992</v>
      </c>
      <c r="Q254">
        <v>6.7</v>
      </c>
      <c r="R254" s="8">
        <f t="shared" si="3"/>
        <v>43489</v>
      </c>
    </row>
    <row r="255" spans="1:18" x14ac:dyDescent="0.35">
      <c r="A255" t="s">
        <v>486</v>
      </c>
      <c r="B255" t="s">
        <v>18</v>
      </c>
      <c r="C255" t="s">
        <v>19</v>
      </c>
      <c r="D255" t="s">
        <v>27</v>
      </c>
      <c r="E255" t="s">
        <v>42</v>
      </c>
      <c r="F255" t="s">
        <v>50</v>
      </c>
      <c r="G255">
        <v>44.98</v>
      </c>
      <c r="H255">
        <v>7</v>
      </c>
      <c r="I255">
        <v>15.74</v>
      </c>
      <c r="J255">
        <v>330.6</v>
      </c>
      <c r="K255" t="s">
        <v>82</v>
      </c>
      <c r="L255" t="s">
        <v>382</v>
      </c>
      <c r="M255" t="s">
        <v>35</v>
      </c>
      <c r="N255">
        <v>314.86</v>
      </c>
      <c r="O255">
        <v>4.7618999999999998</v>
      </c>
      <c r="P255">
        <v>15.74</v>
      </c>
      <c r="Q255">
        <v>9.1</v>
      </c>
      <c r="R255" s="8">
        <f t="shared" si="3"/>
        <v>43541</v>
      </c>
    </row>
    <row r="256" spans="1:18" x14ac:dyDescent="0.35">
      <c r="A256" t="s">
        <v>487</v>
      </c>
      <c r="B256" t="s">
        <v>68</v>
      </c>
      <c r="C256" t="s">
        <v>69</v>
      </c>
      <c r="D256" t="s">
        <v>27</v>
      </c>
      <c r="E256" t="s">
        <v>21</v>
      </c>
      <c r="F256" t="s">
        <v>22</v>
      </c>
      <c r="G256">
        <v>22.06</v>
      </c>
      <c r="H256">
        <v>2</v>
      </c>
      <c r="I256">
        <v>2.21</v>
      </c>
      <c r="J256">
        <v>46.33</v>
      </c>
      <c r="K256" t="s">
        <v>164</v>
      </c>
      <c r="L256" t="s">
        <v>56</v>
      </c>
      <c r="M256" t="s">
        <v>45</v>
      </c>
      <c r="N256">
        <v>44.12</v>
      </c>
      <c r="O256">
        <v>4.7618999999999998</v>
      </c>
      <c r="P256">
        <v>2.21</v>
      </c>
      <c r="Q256">
        <v>6.2</v>
      </c>
      <c r="R256" s="8">
        <f t="shared" si="3"/>
        <v>43496</v>
      </c>
    </row>
    <row r="257" spans="1:18" x14ac:dyDescent="0.35">
      <c r="A257" t="s">
        <v>488</v>
      </c>
      <c r="B257" t="s">
        <v>18</v>
      </c>
      <c r="C257" t="s">
        <v>19</v>
      </c>
      <c r="D257" t="s">
        <v>27</v>
      </c>
      <c r="E257" t="s">
        <v>42</v>
      </c>
      <c r="F257" t="s">
        <v>50</v>
      </c>
      <c r="G257">
        <v>22.41</v>
      </c>
      <c r="H257">
        <v>7</v>
      </c>
      <c r="I257">
        <v>7.84</v>
      </c>
      <c r="J257">
        <v>164.71</v>
      </c>
      <c r="K257" t="s">
        <v>482</v>
      </c>
      <c r="L257" t="s">
        <v>71</v>
      </c>
      <c r="M257" t="s">
        <v>25</v>
      </c>
      <c r="N257">
        <v>156.87</v>
      </c>
      <c r="O257">
        <v>4.7618999999999998</v>
      </c>
      <c r="P257">
        <v>7.84</v>
      </c>
      <c r="Q257">
        <v>7.2</v>
      </c>
      <c r="R257" s="8">
        <f t="shared" si="3"/>
        <v>43520</v>
      </c>
    </row>
    <row r="258" spans="1:18" x14ac:dyDescent="0.35">
      <c r="A258" t="s">
        <v>489</v>
      </c>
      <c r="B258" t="s">
        <v>68</v>
      </c>
      <c r="C258" t="s">
        <v>69</v>
      </c>
      <c r="D258" t="s">
        <v>20</v>
      </c>
      <c r="E258" t="s">
        <v>42</v>
      </c>
      <c r="F258" t="s">
        <v>61</v>
      </c>
      <c r="G258">
        <v>22.63</v>
      </c>
      <c r="H258">
        <v>6</v>
      </c>
      <c r="I258">
        <v>6.79</v>
      </c>
      <c r="J258">
        <v>142.57</v>
      </c>
      <c r="K258" t="s">
        <v>322</v>
      </c>
      <c r="L258" t="s">
        <v>30</v>
      </c>
      <c r="M258" t="s">
        <v>35</v>
      </c>
      <c r="N258">
        <v>135.78</v>
      </c>
      <c r="O258">
        <v>4.7618999999999998</v>
      </c>
      <c r="P258">
        <v>6.79</v>
      </c>
      <c r="Q258">
        <v>9.6999999999999993</v>
      </c>
      <c r="R258" s="8">
        <f t="shared" si="3"/>
        <v>43523</v>
      </c>
    </row>
    <row r="259" spans="1:18" x14ac:dyDescent="0.35">
      <c r="A259" t="s">
        <v>490</v>
      </c>
      <c r="B259" t="s">
        <v>68</v>
      </c>
      <c r="C259" t="s">
        <v>69</v>
      </c>
      <c r="D259" t="s">
        <v>20</v>
      </c>
      <c r="E259" t="s">
        <v>42</v>
      </c>
      <c r="F259" t="s">
        <v>50</v>
      </c>
      <c r="G259">
        <v>55.49</v>
      </c>
      <c r="H259">
        <v>8</v>
      </c>
      <c r="I259">
        <v>22.2</v>
      </c>
      <c r="J259">
        <v>466.12</v>
      </c>
      <c r="K259" t="s">
        <v>130</v>
      </c>
      <c r="L259" t="s">
        <v>491</v>
      </c>
      <c r="M259" t="s">
        <v>35</v>
      </c>
      <c r="N259">
        <v>443.92</v>
      </c>
      <c r="O259">
        <v>4.7618999999999998</v>
      </c>
      <c r="P259">
        <v>22.2</v>
      </c>
      <c r="Q259">
        <v>8.3000000000000007</v>
      </c>
      <c r="R259" s="8">
        <f t="shared" ref="R259:R322" si="4">DATEVALUE(K259)</f>
        <v>43518</v>
      </c>
    </row>
    <row r="260" spans="1:18" x14ac:dyDescent="0.35">
      <c r="A260" t="s">
        <v>492</v>
      </c>
      <c r="B260" t="s">
        <v>37</v>
      </c>
      <c r="C260" t="s">
        <v>38</v>
      </c>
      <c r="D260" t="s">
        <v>20</v>
      </c>
      <c r="E260" t="s">
        <v>21</v>
      </c>
      <c r="F260" t="s">
        <v>50</v>
      </c>
      <c r="G260">
        <v>12.78</v>
      </c>
      <c r="H260">
        <v>4</v>
      </c>
      <c r="I260">
        <v>2.56</v>
      </c>
      <c r="J260">
        <v>53.68</v>
      </c>
      <c r="K260" t="s">
        <v>269</v>
      </c>
      <c r="L260" t="s">
        <v>125</v>
      </c>
      <c r="M260" t="s">
        <v>45</v>
      </c>
      <c r="N260">
        <v>51.12</v>
      </c>
      <c r="O260">
        <v>4.7618999999999998</v>
      </c>
      <c r="P260">
        <v>2.56</v>
      </c>
      <c r="Q260">
        <v>7.2</v>
      </c>
      <c r="R260" s="8">
        <f t="shared" si="4"/>
        <v>43503</v>
      </c>
    </row>
    <row r="261" spans="1:18" x14ac:dyDescent="0.35">
      <c r="A261" t="s">
        <v>493</v>
      </c>
      <c r="B261" t="s">
        <v>37</v>
      </c>
      <c r="C261" t="s">
        <v>38</v>
      </c>
      <c r="D261" t="s">
        <v>27</v>
      </c>
      <c r="E261" t="s">
        <v>21</v>
      </c>
      <c r="F261" t="s">
        <v>50</v>
      </c>
      <c r="G261">
        <v>20.28</v>
      </c>
      <c r="H261">
        <v>9</v>
      </c>
      <c r="I261">
        <v>9.1300000000000008</v>
      </c>
      <c r="J261">
        <v>191.65</v>
      </c>
      <c r="K261" t="s">
        <v>233</v>
      </c>
      <c r="L261" t="s">
        <v>103</v>
      </c>
      <c r="M261" t="s">
        <v>25</v>
      </c>
      <c r="N261">
        <v>182.52</v>
      </c>
      <c r="O261">
        <v>4.7618999999999998</v>
      </c>
      <c r="P261">
        <v>9.1300000000000008</v>
      </c>
      <c r="Q261">
        <v>6.6</v>
      </c>
      <c r="R261" s="8">
        <f t="shared" si="4"/>
        <v>43512</v>
      </c>
    </row>
    <row r="262" spans="1:18" x14ac:dyDescent="0.35">
      <c r="A262" t="s">
        <v>494</v>
      </c>
      <c r="B262" t="s">
        <v>37</v>
      </c>
      <c r="C262" t="s">
        <v>38</v>
      </c>
      <c r="D262" t="s">
        <v>20</v>
      </c>
      <c r="E262" t="s">
        <v>21</v>
      </c>
      <c r="F262" t="s">
        <v>61</v>
      </c>
      <c r="G262">
        <v>88.73</v>
      </c>
      <c r="H262">
        <v>1</v>
      </c>
      <c r="I262">
        <v>4.4400000000000004</v>
      </c>
      <c r="J262">
        <v>93.17</v>
      </c>
      <c r="K262" t="s">
        <v>322</v>
      </c>
      <c r="L262" t="s">
        <v>165</v>
      </c>
      <c r="M262" t="s">
        <v>45</v>
      </c>
      <c r="N262">
        <v>88.73</v>
      </c>
      <c r="O262">
        <v>4.7618999999999998</v>
      </c>
      <c r="P262">
        <v>4.4400000000000004</v>
      </c>
      <c r="Q262">
        <v>6.6</v>
      </c>
      <c r="R262" s="8">
        <f t="shared" si="4"/>
        <v>43523</v>
      </c>
    </row>
    <row r="263" spans="1:18" x14ac:dyDescent="0.35">
      <c r="A263" t="s">
        <v>495</v>
      </c>
      <c r="B263" t="s">
        <v>68</v>
      </c>
      <c r="C263" t="s">
        <v>69</v>
      </c>
      <c r="D263" t="s">
        <v>20</v>
      </c>
      <c r="E263" t="s">
        <v>42</v>
      </c>
      <c r="F263" t="s">
        <v>22</v>
      </c>
      <c r="G263">
        <v>64.92</v>
      </c>
      <c r="H263">
        <v>7</v>
      </c>
      <c r="I263">
        <v>22.72</v>
      </c>
      <c r="J263">
        <v>477.16</v>
      </c>
      <c r="K263" t="s">
        <v>175</v>
      </c>
      <c r="L263" t="s">
        <v>380</v>
      </c>
      <c r="M263" t="s">
        <v>45</v>
      </c>
      <c r="N263">
        <v>454.44</v>
      </c>
      <c r="O263">
        <v>4.7618999999999998</v>
      </c>
      <c r="P263">
        <v>22.72</v>
      </c>
      <c r="Q263">
        <v>8.9</v>
      </c>
      <c r="R263" s="8">
        <f t="shared" si="4"/>
        <v>43487</v>
      </c>
    </row>
    <row r="264" spans="1:18" x14ac:dyDescent="0.35">
      <c r="A264" t="s">
        <v>496</v>
      </c>
      <c r="B264" t="s">
        <v>68</v>
      </c>
      <c r="C264" t="s">
        <v>69</v>
      </c>
      <c r="D264" t="s">
        <v>27</v>
      </c>
      <c r="E264" t="s">
        <v>42</v>
      </c>
      <c r="F264" t="s">
        <v>50</v>
      </c>
      <c r="G264">
        <v>58.49</v>
      </c>
      <c r="H264">
        <v>6</v>
      </c>
      <c r="I264">
        <v>17.55</v>
      </c>
      <c r="J264">
        <v>368.49</v>
      </c>
      <c r="K264" t="s">
        <v>269</v>
      </c>
      <c r="L264" t="s">
        <v>497</v>
      </c>
      <c r="M264" t="s">
        <v>35</v>
      </c>
      <c r="N264">
        <v>350.94</v>
      </c>
      <c r="O264">
        <v>4.7618999999999998</v>
      </c>
      <c r="P264">
        <v>17.55</v>
      </c>
      <c r="Q264">
        <v>9.6999999999999993</v>
      </c>
      <c r="R264" s="8">
        <f t="shared" si="4"/>
        <v>43503</v>
      </c>
    </row>
    <row r="265" spans="1:18" x14ac:dyDescent="0.35">
      <c r="A265" t="s">
        <v>498</v>
      </c>
      <c r="B265" t="s">
        <v>18</v>
      </c>
      <c r="C265" t="s">
        <v>19</v>
      </c>
      <c r="D265" t="s">
        <v>20</v>
      </c>
      <c r="E265" t="s">
        <v>21</v>
      </c>
      <c r="F265" t="s">
        <v>32</v>
      </c>
      <c r="G265">
        <v>92.69</v>
      </c>
      <c r="H265">
        <v>5</v>
      </c>
      <c r="I265">
        <v>23.17</v>
      </c>
      <c r="J265">
        <v>486.62</v>
      </c>
      <c r="K265" t="s">
        <v>276</v>
      </c>
      <c r="L265" t="s">
        <v>427</v>
      </c>
      <c r="M265" t="s">
        <v>45</v>
      </c>
      <c r="N265">
        <v>463.45</v>
      </c>
      <c r="O265">
        <v>4.7618999999999998</v>
      </c>
      <c r="P265">
        <v>23.17</v>
      </c>
      <c r="Q265">
        <v>5.5</v>
      </c>
      <c r="R265" s="8">
        <f t="shared" si="4"/>
        <v>43549</v>
      </c>
    </row>
    <row r="266" spans="1:18" x14ac:dyDescent="0.35">
      <c r="A266" t="s">
        <v>499</v>
      </c>
      <c r="B266" t="s">
        <v>37</v>
      </c>
      <c r="C266" t="s">
        <v>38</v>
      </c>
      <c r="D266" t="s">
        <v>20</v>
      </c>
      <c r="E266" t="s">
        <v>42</v>
      </c>
      <c r="F266" t="s">
        <v>32</v>
      </c>
      <c r="G266">
        <v>22.8</v>
      </c>
      <c r="H266">
        <v>5</v>
      </c>
      <c r="I266">
        <v>5.7</v>
      </c>
      <c r="J266">
        <v>119.7</v>
      </c>
      <c r="K266" t="s">
        <v>264</v>
      </c>
      <c r="L266" t="s">
        <v>168</v>
      </c>
      <c r="M266" t="s">
        <v>35</v>
      </c>
      <c r="N266">
        <v>114</v>
      </c>
      <c r="O266">
        <v>4.7618999999999998</v>
      </c>
      <c r="P266">
        <v>5.7</v>
      </c>
      <c r="Q266">
        <v>4.5</v>
      </c>
      <c r="R266" s="8">
        <f t="shared" si="4"/>
        <v>43546</v>
      </c>
    </row>
    <row r="267" spans="1:18" x14ac:dyDescent="0.35">
      <c r="A267" t="s">
        <v>500</v>
      </c>
      <c r="B267" t="s">
        <v>68</v>
      </c>
      <c r="C267" t="s">
        <v>69</v>
      </c>
      <c r="D267" t="s">
        <v>27</v>
      </c>
      <c r="E267" t="s">
        <v>42</v>
      </c>
      <c r="F267" t="s">
        <v>22</v>
      </c>
      <c r="G267">
        <v>94.27</v>
      </c>
      <c r="H267">
        <v>6</v>
      </c>
      <c r="I267">
        <v>28.28</v>
      </c>
      <c r="J267">
        <v>593.9</v>
      </c>
      <c r="K267" t="s">
        <v>202</v>
      </c>
      <c r="L267" t="s">
        <v>134</v>
      </c>
      <c r="M267" t="s">
        <v>25</v>
      </c>
      <c r="N267">
        <v>565.62</v>
      </c>
      <c r="O267">
        <v>4.7618999999999998</v>
      </c>
      <c r="P267">
        <v>28.28</v>
      </c>
      <c r="Q267">
        <v>4</v>
      </c>
      <c r="R267" s="8">
        <f t="shared" si="4"/>
        <v>43524</v>
      </c>
    </row>
    <row r="268" spans="1:18" x14ac:dyDescent="0.35">
      <c r="A268" t="s">
        <v>501</v>
      </c>
      <c r="B268" t="s">
        <v>18</v>
      </c>
      <c r="C268" t="s">
        <v>19</v>
      </c>
      <c r="D268" t="s">
        <v>20</v>
      </c>
      <c r="E268" t="s">
        <v>42</v>
      </c>
      <c r="F268" t="s">
        <v>22</v>
      </c>
      <c r="G268">
        <v>69.77</v>
      </c>
      <c r="H268">
        <v>6</v>
      </c>
      <c r="I268">
        <v>20.93</v>
      </c>
      <c r="J268">
        <v>439.55</v>
      </c>
      <c r="K268" t="s">
        <v>167</v>
      </c>
      <c r="L268" t="s">
        <v>128</v>
      </c>
      <c r="M268" t="s">
        <v>45</v>
      </c>
      <c r="N268">
        <v>418.62</v>
      </c>
      <c r="O268">
        <v>4.7618999999999998</v>
      </c>
      <c r="P268">
        <v>20.93</v>
      </c>
      <c r="Q268">
        <v>9.8000000000000007</v>
      </c>
      <c r="R268" s="8">
        <f t="shared" si="4"/>
        <v>43474</v>
      </c>
    </row>
    <row r="269" spans="1:18" x14ac:dyDescent="0.35">
      <c r="A269" t="s">
        <v>502</v>
      </c>
      <c r="B269" t="s">
        <v>68</v>
      </c>
      <c r="C269" t="s">
        <v>69</v>
      </c>
      <c r="D269" t="s">
        <v>27</v>
      </c>
      <c r="E269" t="s">
        <v>42</v>
      </c>
      <c r="F269" t="s">
        <v>61</v>
      </c>
      <c r="G269">
        <v>84.55</v>
      </c>
      <c r="H269">
        <v>6</v>
      </c>
      <c r="I269">
        <v>25.37</v>
      </c>
      <c r="J269">
        <v>532.66999999999996</v>
      </c>
      <c r="K269" t="s">
        <v>116</v>
      </c>
      <c r="L269" t="s">
        <v>380</v>
      </c>
      <c r="M269" t="s">
        <v>25</v>
      </c>
      <c r="N269">
        <v>507.3</v>
      </c>
      <c r="O269">
        <v>4.7618999999999998</v>
      </c>
      <c r="P269">
        <v>25.37</v>
      </c>
      <c r="Q269">
        <v>9.1</v>
      </c>
      <c r="R269" s="8">
        <f t="shared" si="4"/>
        <v>43536</v>
      </c>
    </row>
    <row r="270" spans="1:18" x14ac:dyDescent="0.35">
      <c r="A270" t="s">
        <v>503</v>
      </c>
      <c r="B270" t="s">
        <v>37</v>
      </c>
      <c r="C270" t="s">
        <v>38</v>
      </c>
      <c r="D270" t="s">
        <v>20</v>
      </c>
      <c r="E270" t="s">
        <v>21</v>
      </c>
      <c r="F270" t="s">
        <v>28</v>
      </c>
      <c r="G270">
        <v>66.36</v>
      </c>
      <c r="H270">
        <v>8</v>
      </c>
      <c r="I270">
        <v>26.54</v>
      </c>
      <c r="J270">
        <v>557.41999999999996</v>
      </c>
      <c r="K270" t="s">
        <v>170</v>
      </c>
      <c r="L270" t="s">
        <v>463</v>
      </c>
      <c r="M270" t="s">
        <v>35</v>
      </c>
      <c r="N270">
        <v>530.88</v>
      </c>
      <c r="O270">
        <v>4.7618999999999998</v>
      </c>
      <c r="P270">
        <v>26.54</v>
      </c>
      <c r="Q270">
        <v>6.7</v>
      </c>
      <c r="R270" s="8">
        <f t="shared" si="4"/>
        <v>43468</v>
      </c>
    </row>
    <row r="271" spans="1:18" x14ac:dyDescent="0.35">
      <c r="A271" t="s">
        <v>504</v>
      </c>
      <c r="B271" t="s">
        <v>68</v>
      </c>
      <c r="C271" t="s">
        <v>69</v>
      </c>
      <c r="D271" t="s">
        <v>20</v>
      </c>
      <c r="E271" t="s">
        <v>42</v>
      </c>
      <c r="F271" t="s">
        <v>54</v>
      </c>
      <c r="G271">
        <v>88.7</v>
      </c>
      <c r="H271">
        <v>5</v>
      </c>
      <c r="I271">
        <v>22.18</v>
      </c>
      <c r="J271">
        <v>465.68</v>
      </c>
      <c r="K271" t="s">
        <v>96</v>
      </c>
      <c r="L271" t="s">
        <v>282</v>
      </c>
      <c r="M271" t="s">
        <v>35</v>
      </c>
      <c r="N271">
        <v>443.5</v>
      </c>
      <c r="O271">
        <v>4.7618999999999998</v>
      </c>
      <c r="P271">
        <v>22.18</v>
      </c>
      <c r="Q271">
        <v>4.5</v>
      </c>
      <c r="R271" s="8">
        <f t="shared" si="4"/>
        <v>43477</v>
      </c>
    </row>
    <row r="272" spans="1:18" x14ac:dyDescent="0.35">
      <c r="A272" t="s">
        <v>505</v>
      </c>
      <c r="B272" t="s">
        <v>18</v>
      </c>
      <c r="C272" t="s">
        <v>19</v>
      </c>
      <c r="D272" t="s">
        <v>20</v>
      </c>
      <c r="E272" t="s">
        <v>21</v>
      </c>
      <c r="F272" t="s">
        <v>32</v>
      </c>
      <c r="G272">
        <v>66.3</v>
      </c>
      <c r="H272">
        <v>4</v>
      </c>
      <c r="I272">
        <v>13.26</v>
      </c>
      <c r="J272">
        <v>278.45999999999998</v>
      </c>
      <c r="K272" t="s">
        <v>482</v>
      </c>
      <c r="L272" t="s">
        <v>473</v>
      </c>
      <c r="M272" t="s">
        <v>25</v>
      </c>
      <c r="N272">
        <v>265.2</v>
      </c>
      <c r="O272">
        <v>4.7618999999999998</v>
      </c>
      <c r="P272">
        <v>13.26</v>
      </c>
      <c r="Q272">
        <v>4.5999999999999996</v>
      </c>
      <c r="R272" s="8">
        <f t="shared" si="4"/>
        <v>43520</v>
      </c>
    </row>
    <row r="273" spans="1:18" x14ac:dyDescent="0.35">
      <c r="A273" t="s">
        <v>506</v>
      </c>
      <c r="B273" t="s">
        <v>37</v>
      </c>
      <c r="C273" t="s">
        <v>38</v>
      </c>
      <c r="D273" t="s">
        <v>20</v>
      </c>
      <c r="E273" t="s">
        <v>21</v>
      </c>
      <c r="F273" t="s">
        <v>50</v>
      </c>
      <c r="G273">
        <v>30.36</v>
      </c>
      <c r="H273">
        <v>8</v>
      </c>
      <c r="I273">
        <v>12.14</v>
      </c>
      <c r="J273">
        <v>255.02</v>
      </c>
      <c r="K273" t="s">
        <v>415</v>
      </c>
      <c r="L273" t="s">
        <v>507</v>
      </c>
      <c r="M273" t="s">
        <v>35</v>
      </c>
      <c r="N273">
        <v>242.88</v>
      </c>
      <c r="O273">
        <v>4.7618999999999998</v>
      </c>
      <c r="P273">
        <v>12.14</v>
      </c>
      <c r="Q273">
        <v>8.9</v>
      </c>
      <c r="R273" s="8">
        <f t="shared" si="4"/>
        <v>43467</v>
      </c>
    </row>
    <row r="274" spans="1:18" x14ac:dyDescent="0.35">
      <c r="A274" t="s">
        <v>508</v>
      </c>
      <c r="B274" t="s">
        <v>37</v>
      </c>
      <c r="C274" t="s">
        <v>38</v>
      </c>
      <c r="D274" t="s">
        <v>20</v>
      </c>
      <c r="E274" t="s">
        <v>42</v>
      </c>
      <c r="F274" t="s">
        <v>28</v>
      </c>
      <c r="G274">
        <v>30.61</v>
      </c>
      <c r="H274">
        <v>2</v>
      </c>
      <c r="I274">
        <v>3.06</v>
      </c>
      <c r="J274">
        <v>64.28</v>
      </c>
      <c r="K274" t="s">
        <v>189</v>
      </c>
      <c r="L274" t="s">
        <v>382</v>
      </c>
      <c r="M274" t="s">
        <v>35</v>
      </c>
      <c r="N274">
        <v>61.22</v>
      </c>
      <c r="O274">
        <v>4.7618999999999998</v>
      </c>
      <c r="P274">
        <v>3.06</v>
      </c>
      <c r="Q274">
        <v>9.3000000000000007</v>
      </c>
      <c r="R274" s="8">
        <f t="shared" si="4"/>
        <v>43479</v>
      </c>
    </row>
    <row r="275" spans="1:18" x14ac:dyDescent="0.35">
      <c r="A275" t="s">
        <v>509</v>
      </c>
      <c r="B275" t="s">
        <v>37</v>
      </c>
      <c r="C275" t="s">
        <v>38</v>
      </c>
      <c r="D275" t="s">
        <v>20</v>
      </c>
      <c r="E275" t="s">
        <v>21</v>
      </c>
      <c r="F275" t="s">
        <v>28</v>
      </c>
      <c r="G275">
        <v>57.75</v>
      </c>
      <c r="H275">
        <v>1</v>
      </c>
      <c r="I275">
        <v>2.89</v>
      </c>
      <c r="J275">
        <v>60.64</v>
      </c>
      <c r="K275" t="s">
        <v>191</v>
      </c>
      <c r="L275" t="s">
        <v>316</v>
      </c>
      <c r="M275" t="s">
        <v>35</v>
      </c>
      <c r="N275">
        <v>57.75</v>
      </c>
      <c r="O275">
        <v>4.7618999999999998</v>
      </c>
      <c r="P275">
        <v>2.89</v>
      </c>
      <c r="Q275">
        <v>6.1</v>
      </c>
      <c r="R275" s="8">
        <f t="shared" si="4"/>
        <v>43544</v>
      </c>
    </row>
    <row r="276" spans="1:18" x14ac:dyDescent="0.35">
      <c r="A276" t="s">
        <v>510</v>
      </c>
      <c r="B276" t="s">
        <v>18</v>
      </c>
      <c r="C276" t="s">
        <v>19</v>
      </c>
      <c r="D276" t="s">
        <v>20</v>
      </c>
      <c r="E276" t="s">
        <v>42</v>
      </c>
      <c r="F276" t="s">
        <v>50</v>
      </c>
      <c r="G276">
        <v>71.790000000000006</v>
      </c>
      <c r="H276">
        <v>4</v>
      </c>
      <c r="I276">
        <v>14.36</v>
      </c>
      <c r="J276">
        <v>301.52</v>
      </c>
      <c r="K276" t="s">
        <v>96</v>
      </c>
      <c r="L276" t="s">
        <v>463</v>
      </c>
      <c r="M276" t="s">
        <v>45</v>
      </c>
      <c r="N276">
        <v>287.16000000000003</v>
      </c>
      <c r="O276">
        <v>4.7618999999999998</v>
      </c>
      <c r="P276">
        <v>14.36</v>
      </c>
      <c r="Q276">
        <v>7.5</v>
      </c>
      <c r="R276" s="8">
        <f t="shared" si="4"/>
        <v>43477</v>
      </c>
    </row>
    <row r="277" spans="1:18" x14ac:dyDescent="0.35">
      <c r="A277" t="s">
        <v>511</v>
      </c>
      <c r="B277" t="s">
        <v>37</v>
      </c>
      <c r="C277" t="s">
        <v>38</v>
      </c>
      <c r="D277" t="s">
        <v>27</v>
      </c>
      <c r="E277" t="s">
        <v>42</v>
      </c>
      <c r="F277" t="s">
        <v>54</v>
      </c>
      <c r="G277">
        <v>32.299999999999997</v>
      </c>
      <c r="H277">
        <v>2</v>
      </c>
      <c r="I277">
        <v>3.23</v>
      </c>
      <c r="J277">
        <v>67.83</v>
      </c>
      <c r="K277" t="s">
        <v>182</v>
      </c>
      <c r="L277" t="s">
        <v>73</v>
      </c>
      <c r="M277" t="s">
        <v>25</v>
      </c>
      <c r="N277">
        <v>64.599999999999994</v>
      </c>
      <c r="O277">
        <v>4.7618999999999998</v>
      </c>
      <c r="P277">
        <v>3.23</v>
      </c>
      <c r="Q277">
        <v>8.3000000000000007</v>
      </c>
      <c r="R277" s="8">
        <f t="shared" si="4"/>
        <v>43497</v>
      </c>
    </row>
    <row r="278" spans="1:18" x14ac:dyDescent="0.35">
      <c r="A278" t="s">
        <v>512</v>
      </c>
      <c r="B278" t="s">
        <v>18</v>
      </c>
      <c r="C278" t="s">
        <v>19</v>
      </c>
      <c r="D278" t="s">
        <v>20</v>
      </c>
      <c r="E278" t="s">
        <v>42</v>
      </c>
      <c r="F278" t="s">
        <v>54</v>
      </c>
      <c r="G278">
        <v>56.6</v>
      </c>
      <c r="H278">
        <v>9</v>
      </c>
      <c r="I278">
        <v>25.47</v>
      </c>
      <c r="J278">
        <v>534.87</v>
      </c>
      <c r="K278" t="s">
        <v>87</v>
      </c>
      <c r="L278" t="s">
        <v>52</v>
      </c>
      <c r="M278" t="s">
        <v>25</v>
      </c>
      <c r="N278">
        <v>509.4</v>
      </c>
      <c r="O278">
        <v>4.7618999999999998</v>
      </c>
      <c r="P278">
        <v>25.47</v>
      </c>
      <c r="Q278">
        <v>4.3</v>
      </c>
      <c r="R278" s="8">
        <f t="shared" si="4"/>
        <v>43490</v>
      </c>
    </row>
    <row r="279" spans="1:18" x14ac:dyDescent="0.35">
      <c r="A279" t="s">
        <v>513</v>
      </c>
      <c r="B279" t="s">
        <v>68</v>
      </c>
      <c r="C279" t="s">
        <v>69</v>
      </c>
      <c r="D279" t="s">
        <v>27</v>
      </c>
      <c r="E279" t="s">
        <v>42</v>
      </c>
      <c r="F279" t="s">
        <v>28</v>
      </c>
      <c r="G279">
        <v>31.7</v>
      </c>
      <c r="H279">
        <v>10</v>
      </c>
      <c r="I279">
        <v>15.85</v>
      </c>
      <c r="J279">
        <v>332.85</v>
      </c>
      <c r="K279" t="s">
        <v>85</v>
      </c>
      <c r="L279" t="s">
        <v>103</v>
      </c>
      <c r="M279" t="s">
        <v>35</v>
      </c>
      <c r="N279">
        <v>317</v>
      </c>
      <c r="O279">
        <v>4.7618999999999998</v>
      </c>
      <c r="P279">
        <v>15.85</v>
      </c>
      <c r="Q279">
        <v>9.6</v>
      </c>
      <c r="R279" s="8">
        <f t="shared" si="4"/>
        <v>43475</v>
      </c>
    </row>
    <row r="280" spans="1:18" x14ac:dyDescent="0.35">
      <c r="A280" t="s">
        <v>514</v>
      </c>
      <c r="B280" t="s">
        <v>37</v>
      </c>
      <c r="C280" t="s">
        <v>38</v>
      </c>
      <c r="D280" t="s">
        <v>27</v>
      </c>
      <c r="E280" t="s">
        <v>42</v>
      </c>
      <c r="F280" t="s">
        <v>50</v>
      </c>
      <c r="G280">
        <v>71.459999999999994</v>
      </c>
      <c r="H280">
        <v>8</v>
      </c>
      <c r="I280">
        <v>28.58</v>
      </c>
      <c r="J280">
        <v>600.26</v>
      </c>
      <c r="K280" t="s">
        <v>85</v>
      </c>
      <c r="L280" t="s">
        <v>207</v>
      </c>
      <c r="M280" t="s">
        <v>45</v>
      </c>
      <c r="N280">
        <v>571.67999999999995</v>
      </c>
      <c r="O280">
        <v>4.7618999999999998</v>
      </c>
      <c r="P280">
        <v>28.58</v>
      </c>
      <c r="Q280">
        <v>4.0999999999999996</v>
      </c>
      <c r="R280" s="8">
        <f t="shared" si="4"/>
        <v>43475</v>
      </c>
    </row>
    <row r="281" spans="1:18" x14ac:dyDescent="0.35">
      <c r="A281" t="s">
        <v>515</v>
      </c>
      <c r="B281" t="s">
        <v>68</v>
      </c>
      <c r="C281" t="s">
        <v>69</v>
      </c>
      <c r="D281" t="s">
        <v>20</v>
      </c>
      <c r="E281" t="s">
        <v>42</v>
      </c>
      <c r="F281" t="s">
        <v>50</v>
      </c>
      <c r="G281">
        <v>35.78</v>
      </c>
      <c r="H281">
        <v>9</v>
      </c>
      <c r="I281">
        <v>16.100000000000001</v>
      </c>
      <c r="J281">
        <v>338.12</v>
      </c>
      <c r="K281" t="s">
        <v>395</v>
      </c>
      <c r="L281" t="s">
        <v>91</v>
      </c>
      <c r="M281" t="s">
        <v>35</v>
      </c>
      <c r="N281">
        <v>322.02</v>
      </c>
      <c r="O281">
        <v>4.7618999999999998</v>
      </c>
      <c r="P281">
        <v>16.100000000000001</v>
      </c>
      <c r="Q281">
        <v>4.5</v>
      </c>
      <c r="R281" s="8">
        <f t="shared" si="4"/>
        <v>43519</v>
      </c>
    </row>
    <row r="282" spans="1:18" x14ac:dyDescent="0.35">
      <c r="A282" t="s">
        <v>516</v>
      </c>
      <c r="B282" t="s">
        <v>18</v>
      </c>
      <c r="C282" t="s">
        <v>19</v>
      </c>
      <c r="D282" t="s">
        <v>20</v>
      </c>
      <c r="E282" t="s">
        <v>42</v>
      </c>
      <c r="F282" t="s">
        <v>28</v>
      </c>
      <c r="G282">
        <v>37.89</v>
      </c>
      <c r="H282">
        <v>9</v>
      </c>
      <c r="I282">
        <v>17.05</v>
      </c>
      <c r="J282">
        <v>358.06</v>
      </c>
      <c r="K282" t="s">
        <v>479</v>
      </c>
      <c r="L282" t="s">
        <v>358</v>
      </c>
      <c r="M282" t="s">
        <v>35</v>
      </c>
      <c r="N282">
        <v>341.01</v>
      </c>
      <c r="O282">
        <v>4.7618999999999998</v>
      </c>
      <c r="P282">
        <v>17.05</v>
      </c>
      <c r="Q282">
        <v>6.3</v>
      </c>
      <c r="R282" s="8">
        <f t="shared" si="4"/>
        <v>43492</v>
      </c>
    </row>
    <row r="283" spans="1:18" x14ac:dyDescent="0.35">
      <c r="A283" t="s">
        <v>517</v>
      </c>
      <c r="B283" t="s">
        <v>18</v>
      </c>
      <c r="C283" t="s">
        <v>19</v>
      </c>
      <c r="D283" t="s">
        <v>20</v>
      </c>
      <c r="E283" t="s">
        <v>42</v>
      </c>
      <c r="F283" t="s">
        <v>22</v>
      </c>
      <c r="G283">
        <v>49.37</v>
      </c>
      <c r="H283">
        <v>4</v>
      </c>
      <c r="I283">
        <v>9.8699999999999992</v>
      </c>
      <c r="J283">
        <v>207.35</v>
      </c>
      <c r="K283" t="s">
        <v>90</v>
      </c>
      <c r="L283" t="s">
        <v>212</v>
      </c>
      <c r="M283" t="s">
        <v>35</v>
      </c>
      <c r="N283">
        <v>197.48</v>
      </c>
      <c r="O283">
        <v>4.7618999999999998</v>
      </c>
      <c r="P283">
        <v>9.8699999999999992</v>
      </c>
      <c r="Q283">
        <v>4.7</v>
      </c>
      <c r="R283" s="8">
        <f t="shared" si="4"/>
        <v>43473</v>
      </c>
    </row>
    <row r="284" spans="1:18" x14ac:dyDescent="0.35">
      <c r="A284" t="s">
        <v>518</v>
      </c>
      <c r="B284" t="s">
        <v>18</v>
      </c>
      <c r="C284" t="s">
        <v>19</v>
      </c>
      <c r="D284" t="s">
        <v>20</v>
      </c>
      <c r="E284" t="s">
        <v>42</v>
      </c>
      <c r="F284" t="s">
        <v>22</v>
      </c>
      <c r="G284">
        <v>76.75</v>
      </c>
      <c r="H284">
        <v>3</v>
      </c>
      <c r="I284">
        <v>11.51</v>
      </c>
      <c r="J284">
        <v>241.76</v>
      </c>
      <c r="K284" t="s">
        <v>187</v>
      </c>
      <c r="L284" t="s">
        <v>507</v>
      </c>
      <c r="M284" t="s">
        <v>45</v>
      </c>
      <c r="N284">
        <v>230.25</v>
      </c>
      <c r="O284">
        <v>4.7618999999999998</v>
      </c>
      <c r="P284">
        <v>11.51</v>
      </c>
      <c r="Q284">
        <v>8.1999999999999993</v>
      </c>
      <c r="R284" s="8">
        <f t="shared" si="4"/>
        <v>43481</v>
      </c>
    </row>
    <row r="285" spans="1:18" x14ac:dyDescent="0.35">
      <c r="A285" t="s">
        <v>519</v>
      </c>
      <c r="B285" t="s">
        <v>37</v>
      </c>
      <c r="C285" t="s">
        <v>38</v>
      </c>
      <c r="D285" t="s">
        <v>27</v>
      </c>
      <c r="E285" t="s">
        <v>42</v>
      </c>
      <c r="F285" t="s">
        <v>54</v>
      </c>
      <c r="G285">
        <v>43.47</v>
      </c>
      <c r="H285">
        <v>5</v>
      </c>
      <c r="I285">
        <v>10.87</v>
      </c>
      <c r="J285">
        <v>228.22</v>
      </c>
      <c r="K285" t="s">
        <v>187</v>
      </c>
      <c r="L285" t="s">
        <v>284</v>
      </c>
      <c r="M285" t="s">
        <v>35</v>
      </c>
      <c r="N285">
        <v>217.35</v>
      </c>
      <c r="O285">
        <v>4.7618999999999998</v>
      </c>
      <c r="P285">
        <v>10.87</v>
      </c>
      <c r="Q285">
        <v>5.6</v>
      </c>
      <c r="R285" s="8">
        <f t="shared" si="4"/>
        <v>43481</v>
      </c>
    </row>
    <row r="286" spans="1:18" x14ac:dyDescent="0.35">
      <c r="A286" t="s">
        <v>520</v>
      </c>
      <c r="B286" t="s">
        <v>37</v>
      </c>
      <c r="C286" t="s">
        <v>38</v>
      </c>
      <c r="D286" t="s">
        <v>20</v>
      </c>
      <c r="E286" t="s">
        <v>42</v>
      </c>
      <c r="F286" t="s">
        <v>32</v>
      </c>
      <c r="G286">
        <v>55.97</v>
      </c>
      <c r="H286">
        <v>1</v>
      </c>
      <c r="I286">
        <v>2.8</v>
      </c>
      <c r="J286">
        <v>58.77</v>
      </c>
      <c r="K286" t="s">
        <v>521</v>
      </c>
      <c r="L286" t="s">
        <v>380</v>
      </c>
      <c r="M286" t="s">
        <v>35</v>
      </c>
      <c r="N286">
        <v>55.97</v>
      </c>
      <c r="O286">
        <v>4.7618999999999998</v>
      </c>
      <c r="P286">
        <v>2.8</v>
      </c>
      <c r="Q286">
        <v>4.9000000000000004</v>
      </c>
      <c r="R286" s="8">
        <f t="shared" si="4"/>
        <v>43529</v>
      </c>
    </row>
    <row r="287" spans="1:18" x14ac:dyDescent="0.35">
      <c r="A287" t="s">
        <v>522</v>
      </c>
      <c r="B287" t="s">
        <v>68</v>
      </c>
      <c r="C287" t="s">
        <v>69</v>
      </c>
      <c r="D287" t="s">
        <v>20</v>
      </c>
      <c r="E287" t="s">
        <v>21</v>
      </c>
      <c r="F287" t="s">
        <v>22</v>
      </c>
      <c r="G287">
        <v>55.79</v>
      </c>
      <c r="H287">
        <v>1</v>
      </c>
      <c r="I287">
        <v>2.79</v>
      </c>
      <c r="J287">
        <v>58.58</v>
      </c>
      <c r="K287" t="s">
        <v>415</v>
      </c>
      <c r="L287" t="s">
        <v>76</v>
      </c>
      <c r="M287" t="s">
        <v>35</v>
      </c>
      <c r="N287">
        <v>55.79</v>
      </c>
      <c r="O287">
        <v>4.7618999999999998</v>
      </c>
      <c r="P287">
        <v>2.79</v>
      </c>
      <c r="Q287">
        <v>6.2</v>
      </c>
      <c r="R287" s="8">
        <f t="shared" si="4"/>
        <v>43467</v>
      </c>
    </row>
    <row r="288" spans="1:18" x14ac:dyDescent="0.35">
      <c r="A288" t="s">
        <v>523</v>
      </c>
      <c r="B288" t="s">
        <v>68</v>
      </c>
      <c r="C288" t="s">
        <v>69</v>
      </c>
      <c r="D288" t="s">
        <v>20</v>
      </c>
      <c r="E288" t="s">
        <v>42</v>
      </c>
      <c r="F288" t="s">
        <v>54</v>
      </c>
      <c r="G288">
        <v>38.96</v>
      </c>
      <c r="H288">
        <v>7</v>
      </c>
      <c r="I288">
        <v>13.64</v>
      </c>
      <c r="J288">
        <v>286.36</v>
      </c>
      <c r="K288" t="s">
        <v>251</v>
      </c>
      <c r="L288" t="s">
        <v>56</v>
      </c>
      <c r="M288" t="s">
        <v>25</v>
      </c>
      <c r="N288">
        <v>272.72000000000003</v>
      </c>
      <c r="O288">
        <v>4.7618999999999998</v>
      </c>
      <c r="P288">
        <v>13.64</v>
      </c>
      <c r="Q288">
        <v>6.2</v>
      </c>
      <c r="R288" s="8">
        <f t="shared" si="4"/>
        <v>43506</v>
      </c>
    </row>
    <row r="289" spans="1:18" x14ac:dyDescent="0.35">
      <c r="A289" t="s">
        <v>524</v>
      </c>
      <c r="B289" t="s">
        <v>18</v>
      </c>
      <c r="C289" t="s">
        <v>19</v>
      </c>
      <c r="D289" t="s">
        <v>20</v>
      </c>
      <c r="E289" t="s">
        <v>21</v>
      </c>
      <c r="F289" t="s">
        <v>54</v>
      </c>
      <c r="G289">
        <v>82.39</v>
      </c>
      <c r="H289">
        <v>1</v>
      </c>
      <c r="I289">
        <v>4.12</v>
      </c>
      <c r="J289">
        <v>86.51</v>
      </c>
      <c r="K289" t="s">
        <v>55</v>
      </c>
      <c r="L289" t="s">
        <v>180</v>
      </c>
      <c r="M289" t="s">
        <v>35</v>
      </c>
      <c r="N289">
        <v>82.39</v>
      </c>
      <c r="O289">
        <v>4.7618999999999998</v>
      </c>
      <c r="P289">
        <v>4.12</v>
      </c>
      <c r="Q289">
        <v>8.6</v>
      </c>
      <c r="R289" s="8">
        <f t="shared" si="4"/>
        <v>43517</v>
      </c>
    </row>
    <row r="290" spans="1:18" x14ac:dyDescent="0.35">
      <c r="A290" t="s">
        <v>525</v>
      </c>
      <c r="B290" t="s">
        <v>37</v>
      </c>
      <c r="C290" t="s">
        <v>38</v>
      </c>
      <c r="D290" t="s">
        <v>20</v>
      </c>
      <c r="E290" t="s">
        <v>42</v>
      </c>
      <c r="F290" t="s">
        <v>28</v>
      </c>
      <c r="G290">
        <v>43.2</v>
      </c>
      <c r="H290">
        <v>5</v>
      </c>
      <c r="I290">
        <v>10.8</v>
      </c>
      <c r="J290">
        <v>226.8</v>
      </c>
      <c r="K290" t="s">
        <v>526</v>
      </c>
      <c r="L290" t="s">
        <v>326</v>
      </c>
      <c r="M290" t="s">
        <v>25</v>
      </c>
      <c r="N290">
        <v>216</v>
      </c>
      <c r="O290">
        <v>4.7618999999999998</v>
      </c>
      <c r="P290">
        <v>10.8</v>
      </c>
      <c r="Q290">
        <v>5.5</v>
      </c>
      <c r="R290" s="8">
        <f t="shared" si="4"/>
        <v>43538</v>
      </c>
    </row>
    <row r="291" spans="1:18" x14ac:dyDescent="0.35">
      <c r="A291" t="s">
        <v>527</v>
      </c>
      <c r="B291" t="s">
        <v>18</v>
      </c>
      <c r="C291" t="s">
        <v>19</v>
      </c>
      <c r="D291" t="s">
        <v>27</v>
      </c>
      <c r="E291" t="s">
        <v>21</v>
      </c>
      <c r="F291" t="s">
        <v>22</v>
      </c>
      <c r="G291">
        <v>91.04</v>
      </c>
      <c r="H291">
        <v>4</v>
      </c>
      <c r="I291">
        <v>18.21</v>
      </c>
      <c r="J291">
        <v>382.37</v>
      </c>
      <c r="K291" t="s">
        <v>477</v>
      </c>
      <c r="L291" t="s">
        <v>350</v>
      </c>
      <c r="M291" t="s">
        <v>45</v>
      </c>
      <c r="N291">
        <v>364.16</v>
      </c>
      <c r="O291">
        <v>4.7618999999999998</v>
      </c>
      <c r="P291">
        <v>18.21</v>
      </c>
      <c r="Q291">
        <v>5.4</v>
      </c>
      <c r="R291" s="8">
        <f t="shared" si="4"/>
        <v>43485</v>
      </c>
    </row>
    <row r="292" spans="1:18" x14ac:dyDescent="0.35">
      <c r="A292" t="s">
        <v>528</v>
      </c>
      <c r="B292" t="s">
        <v>18</v>
      </c>
      <c r="C292" t="s">
        <v>19</v>
      </c>
      <c r="D292" t="s">
        <v>20</v>
      </c>
      <c r="E292" t="s">
        <v>42</v>
      </c>
      <c r="F292" t="s">
        <v>28</v>
      </c>
      <c r="G292">
        <v>78.3</v>
      </c>
      <c r="H292">
        <v>7</v>
      </c>
      <c r="I292">
        <v>27.41</v>
      </c>
      <c r="J292">
        <v>575.51</v>
      </c>
      <c r="K292" t="s">
        <v>75</v>
      </c>
      <c r="L292" t="s">
        <v>224</v>
      </c>
      <c r="M292" t="s">
        <v>25</v>
      </c>
      <c r="N292">
        <v>548.1</v>
      </c>
      <c r="O292">
        <v>4.7618999999999998</v>
      </c>
      <c r="P292">
        <v>27.41</v>
      </c>
      <c r="Q292">
        <v>9.9</v>
      </c>
      <c r="R292" s="8">
        <f t="shared" si="4"/>
        <v>43505</v>
      </c>
    </row>
    <row r="293" spans="1:18" x14ac:dyDescent="0.35">
      <c r="A293" t="s">
        <v>529</v>
      </c>
      <c r="B293" t="s">
        <v>37</v>
      </c>
      <c r="C293" t="s">
        <v>38</v>
      </c>
      <c r="D293" t="s">
        <v>20</v>
      </c>
      <c r="E293" t="s">
        <v>21</v>
      </c>
      <c r="F293" t="s">
        <v>22</v>
      </c>
      <c r="G293">
        <v>35.18</v>
      </c>
      <c r="H293">
        <v>1</v>
      </c>
      <c r="I293">
        <v>1.76</v>
      </c>
      <c r="J293">
        <v>36.94</v>
      </c>
      <c r="K293" t="s">
        <v>253</v>
      </c>
      <c r="L293" t="s">
        <v>128</v>
      </c>
      <c r="M293" t="s">
        <v>25</v>
      </c>
      <c r="N293">
        <v>35.18</v>
      </c>
      <c r="O293">
        <v>4.7618999999999998</v>
      </c>
      <c r="P293">
        <v>1.76</v>
      </c>
      <c r="Q293">
        <v>9.4</v>
      </c>
      <c r="R293" s="8">
        <f t="shared" si="4"/>
        <v>43495</v>
      </c>
    </row>
    <row r="294" spans="1:18" x14ac:dyDescent="0.35">
      <c r="A294" t="s">
        <v>530</v>
      </c>
      <c r="B294" t="s">
        <v>18</v>
      </c>
      <c r="C294" t="s">
        <v>19</v>
      </c>
      <c r="D294" t="s">
        <v>20</v>
      </c>
      <c r="E294" t="s">
        <v>21</v>
      </c>
      <c r="F294" t="s">
        <v>50</v>
      </c>
      <c r="G294">
        <v>22.02</v>
      </c>
      <c r="H294">
        <v>7</v>
      </c>
      <c r="I294">
        <v>7.71</v>
      </c>
      <c r="J294">
        <v>161.85</v>
      </c>
      <c r="K294" t="s">
        <v>85</v>
      </c>
      <c r="L294" t="s">
        <v>184</v>
      </c>
      <c r="M294" t="s">
        <v>45</v>
      </c>
      <c r="N294">
        <v>154.13999999999999</v>
      </c>
      <c r="O294">
        <v>4.7618999999999998</v>
      </c>
      <c r="P294">
        <v>7.71</v>
      </c>
      <c r="Q294">
        <v>6.6</v>
      </c>
      <c r="R294" s="8">
        <f t="shared" si="4"/>
        <v>43475</v>
      </c>
    </row>
    <row r="295" spans="1:18" x14ac:dyDescent="0.35">
      <c r="A295" t="s">
        <v>531</v>
      </c>
      <c r="B295" t="s">
        <v>68</v>
      </c>
      <c r="C295" t="s">
        <v>69</v>
      </c>
      <c r="D295" t="s">
        <v>27</v>
      </c>
      <c r="E295" t="s">
        <v>42</v>
      </c>
      <c r="F295" t="s">
        <v>61</v>
      </c>
      <c r="G295">
        <v>93.34</v>
      </c>
      <c r="H295">
        <v>7</v>
      </c>
      <c r="I295">
        <v>32.67</v>
      </c>
      <c r="J295">
        <v>686.05</v>
      </c>
      <c r="K295" t="s">
        <v>266</v>
      </c>
      <c r="L295" t="s">
        <v>160</v>
      </c>
      <c r="M295" t="s">
        <v>35</v>
      </c>
      <c r="N295">
        <v>653.38</v>
      </c>
      <c r="O295">
        <v>4.7618999999999998</v>
      </c>
      <c r="P295">
        <v>32.67</v>
      </c>
      <c r="Q295">
        <v>5.4</v>
      </c>
      <c r="R295" s="8">
        <f t="shared" si="4"/>
        <v>43507</v>
      </c>
    </row>
    <row r="296" spans="1:18" x14ac:dyDescent="0.35">
      <c r="A296" t="s">
        <v>532</v>
      </c>
      <c r="B296" t="s">
        <v>68</v>
      </c>
      <c r="C296" t="s">
        <v>69</v>
      </c>
      <c r="D296" t="s">
        <v>20</v>
      </c>
      <c r="E296" t="s">
        <v>21</v>
      </c>
      <c r="F296" t="s">
        <v>28</v>
      </c>
      <c r="G296">
        <v>24.79</v>
      </c>
      <c r="H296">
        <v>8</v>
      </c>
      <c r="I296">
        <v>9.92</v>
      </c>
      <c r="J296">
        <v>208.24</v>
      </c>
      <c r="K296" t="s">
        <v>251</v>
      </c>
      <c r="L296" t="s">
        <v>277</v>
      </c>
      <c r="M296" t="s">
        <v>25</v>
      </c>
      <c r="N296">
        <v>198.32</v>
      </c>
      <c r="O296">
        <v>4.7618999999999998</v>
      </c>
      <c r="P296">
        <v>9.92</v>
      </c>
      <c r="Q296">
        <v>6.1</v>
      </c>
      <c r="R296" s="8">
        <f t="shared" si="4"/>
        <v>43506</v>
      </c>
    </row>
    <row r="297" spans="1:18" x14ac:dyDescent="0.35">
      <c r="A297" t="s">
        <v>533</v>
      </c>
      <c r="B297" t="s">
        <v>68</v>
      </c>
      <c r="C297" t="s">
        <v>69</v>
      </c>
      <c r="D297" t="s">
        <v>27</v>
      </c>
      <c r="E297" t="s">
        <v>42</v>
      </c>
      <c r="F297" t="s">
        <v>32</v>
      </c>
      <c r="G297">
        <v>33.85</v>
      </c>
      <c r="H297">
        <v>2</v>
      </c>
      <c r="I297">
        <v>3.39</v>
      </c>
      <c r="J297">
        <v>71.09</v>
      </c>
      <c r="K297" t="s">
        <v>96</v>
      </c>
      <c r="L297" t="s">
        <v>534</v>
      </c>
      <c r="M297" t="s">
        <v>35</v>
      </c>
      <c r="N297">
        <v>67.7</v>
      </c>
      <c r="O297">
        <v>4.7618999999999998</v>
      </c>
      <c r="P297">
        <v>3.39</v>
      </c>
      <c r="Q297">
        <v>9</v>
      </c>
      <c r="R297" s="8">
        <f t="shared" si="4"/>
        <v>43477</v>
      </c>
    </row>
    <row r="298" spans="1:18" x14ac:dyDescent="0.35">
      <c r="A298" t="s">
        <v>535</v>
      </c>
      <c r="B298" t="s">
        <v>18</v>
      </c>
      <c r="C298" t="s">
        <v>19</v>
      </c>
      <c r="D298" t="s">
        <v>20</v>
      </c>
      <c r="E298" t="s">
        <v>21</v>
      </c>
      <c r="F298" t="s">
        <v>61</v>
      </c>
      <c r="G298">
        <v>23.35</v>
      </c>
      <c r="H298">
        <v>4</v>
      </c>
      <c r="I298">
        <v>4.67</v>
      </c>
      <c r="J298">
        <v>98.07</v>
      </c>
      <c r="K298" t="s">
        <v>127</v>
      </c>
      <c r="L298" t="s">
        <v>536</v>
      </c>
      <c r="M298" t="s">
        <v>45</v>
      </c>
      <c r="N298">
        <v>93.4</v>
      </c>
      <c r="O298">
        <v>4.7618999999999998</v>
      </c>
      <c r="P298">
        <v>4.67</v>
      </c>
      <c r="Q298">
        <v>8.1</v>
      </c>
      <c r="R298" s="8">
        <f t="shared" si="4"/>
        <v>43511</v>
      </c>
    </row>
    <row r="299" spans="1:18" x14ac:dyDescent="0.35">
      <c r="A299" t="s">
        <v>537</v>
      </c>
      <c r="B299" t="s">
        <v>68</v>
      </c>
      <c r="C299" t="s">
        <v>69</v>
      </c>
      <c r="D299" t="s">
        <v>20</v>
      </c>
      <c r="E299" t="s">
        <v>42</v>
      </c>
      <c r="F299" t="s">
        <v>32</v>
      </c>
      <c r="G299">
        <v>60.04</v>
      </c>
      <c r="H299">
        <v>9</v>
      </c>
      <c r="I299">
        <v>27.02</v>
      </c>
      <c r="J299">
        <v>567.38</v>
      </c>
      <c r="K299" t="s">
        <v>182</v>
      </c>
      <c r="L299" t="s">
        <v>180</v>
      </c>
      <c r="M299" t="s">
        <v>45</v>
      </c>
      <c r="N299">
        <v>540.36</v>
      </c>
      <c r="O299">
        <v>4.7618999999999998</v>
      </c>
      <c r="P299">
        <v>27.02</v>
      </c>
      <c r="Q299">
        <v>8.8000000000000007</v>
      </c>
      <c r="R299" s="8">
        <f t="shared" si="4"/>
        <v>43497</v>
      </c>
    </row>
    <row r="300" spans="1:18" x14ac:dyDescent="0.35">
      <c r="A300" t="s">
        <v>538</v>
      </c>
      <c r="B300" t="s">
        <v>68</v>
      </c>
      <c r="C300" t="s">
        <v>69</v>
      </c>
      <c r="D300" t="s">
        <v>20</v>
      </c>
      <c r="E300" t="s">
        <v>21</v>
      </c>
      <c r="F300" t="s">
        <v>54</v>
      </c>
      <c r="G300">
        <v>21.76</v>
      </c>
      <c r="H300">
        <v>7</v>
      </c>
      <c r="I300">
        <v>7.62</v>
      </c>
      <c r="J300">
        <v>159.94</v>
      </c>
      <c r="K300" t="s">
        <v>320</v>
      </c>
      <c r="L300" t="s">
        <v>352</v>
      </c>
      <c r="M300" t="s">
        <v>25</v>
      </c>
      <c r="N300">
        <v>152.32</v>
      </c>
      <c r="O300">
        <v>4.7618999999999998</v>
      </c>
      <c r="P300">
        <v>7.62</v>
      </c>
      <c r="Q300">
        <v>4.5</v>
      </c>
      <c r="R300" s="8">
        <f t="shared" si="4"/>
        <v>43513</v>
      </c>
    </row>
    <row r="301" spans="1:18" x14ac:dyDescent="0.35">
      <c r="A301" t="s">
        <v>539</v>
      </c>
      <c r="B301" t="s">
        <v>37</v>
      </c>
      <c r="C301" t="s">
        <v>38</v>
      </c>
      <c r="D301" t="s">
        <v>20</v>
      </c>
      <c r="E301" t="s">
        <v>21</v>
      </c>
      <c r="F301" t="s">
        <v>28</v>
      </c>
      <c r="G301">
        <v>27.8</v>
      </c>
      <c r="H301">
        <v>8</v>
      </c>
      <c r="I301">
        <v>11.12</v>
      </c>
      <c r="J301">
        <v>233.52</v>
      </c>
      <c r="K301" t="s">
        <v>124</v>
      </c>
      <c r="L301" t="s">
        <v>382</v>
      </c>
      <c r="M301" t="s">
        <v>45</v>
      </c>
      <c r="N301">
        <v>222.4</v>
      </c>
      <c r="O301">
        <v>4.7618999999999998</v>
      </c>
      <c r="P301">
        <v>11.12</v>
      </c>
      <c r="Q301">
        <v>4.3</v>
      </c>
      <c r="R301" s="8">
        <f t="shared" si="4"/>
        <v>43482</v>
      </c>
    </row>
    <row r="302" spans="1:18" x14ac:dyDescent="0.35">
      <c r="A302" t="s">
        <v>540</v>
      </c>
      <c r="B302" t="s">
        <v>68</v>
      </c>
      <c r="C302" t="s">
        <v>69</v>
      </c>
      <c r="D302" t="s">
        <v>20</v>
      </c>
      <c r="E302" t="s">
        <v>42</v>
      </c>
      <c r="F302" t="s">
        <v>22</v>
      </c>
      <c r="G302">
        <v>45.55</v>
      </c>
      <c r="H302">
        <v>1</v>
      </c>
      <c r="I302">
        <v>2.2799999999999998</v>
      </c>
      <c r="J302">
        <v>47.83</v>
      </c>
      <c r="K302" t="s">
        <v>425</v>
      </c>
      <c r="L302" t="s">
        <v>119</v>
      </c>
      <c r="M302" t="s">
        <v>45</v>
      </c>
      <c r="N302">
        <v>45.55</v>
      </c>
      <c r="O302">
        <v>4.7618999999999998</v>
      </c>
      <c r="P302">
        <v>2.2799999999999998</v>
      </c>
      <c r="Q302">
        <v>6.1</v>
      </c>
      <c r="R302" s="8">
        <f t="shared" si="4"/>
        <v>43514</v>
      </c>
    </row>
    <row r="303" spans="1:18" x14ac:dyDescent="0.35">
      <c r="A303" t="s">
        <v>541</v>
      </c>
      <c r="B303" t="s">
        <v>37</v>
      </c>
      <c r="C303" t="s">
        <v>38</v>
      </c>
      <c r="D303" t="s">
        <v>27</v>
      </c>
      <c r="E303" t="s">
        <v>42</v>
      </c>
      <c r="F303" t="s">
        <v>54</v>
      </c>
      <c r="G303">
        <v>13.12</v>
      </c>
      <c r="H303">
        <v>10</v>
      </c>
      <c r="I303">
        <v>6.56</v>
      </c>
      <c r="J303">
        <v>137.76</v>
      </c>
      <c r="K303" t="s">
        <v>191</v>
      </c>
      <c r="L303" t="s">
        <v>162</v>
      </c>
      <c r="M303" t="s">
        <v>35</v>
      </c>
      <c r="N303">
        <v>131.19999999999999</v>
      </c>
      <c r="O303">
        <v>4.7618999999999998</v>
      </c>
      <c r="P303">
        <v>6.56</v>
      </c>
      <c r="Q303">
        <v>7</v>
      </c>
      <c r="R303" s="8">
        <f t="shared" si="4"/>
        <v>43544</v>
      </c>
    </row>
    <row r="304" spans="1:18" x14ac:dyDescent="0.35">
      <c r="A304" t="s">
        <v>542</v>
      </c>
      <c r="B304" t="s">
        <v>37</v>
      </c>
      <c r="C304" t="s">
        <v>38</v>
      </c>
      <c r="D304" t="s">
        <v>20</v>
      </c>
      <c r="E304" t="s">
        <v>21</v>
      </c>
      <c r="F304" t="s">
        <v>61</v>
      </c>
      <c r="G304">
        <v>44.47</v>
      </c>
      <c r="H304">
        <v>7</v>
      </c>
      <c r="I304">
        <v>15.56</v>
      </c>
      <c r="J304">
        <v>326.85000000000002</v>
      </c>
      <c r="K304" t="s">
        <v>133</v>
      </c>
      <c r="L304" t="s">
        <v>289</v>
      </c>
      <c r="M304" t="s">
        <v>45</v>
      </c>
      <c r="N304">
        <v>311.29000000000002</v>
      </c>
      <c r="O304">
        <v>4.7618999999999998</v>
      </c>
      <c r="P304">
        <v>15.56</v>
      </c>
      <c r="Q304">
        <v>7.8</v>
      </c>
      <c r="R304" s="8">
        <f t="shared" si="4"/>
        <v>43491</v>
      </c>
    </row>
    <row r="305" spans="1:18" x14ac:dyDescent="0.35">
      <c r="A305" t="s">
        <v>543</v>
      </c>
      <c r="B305" t="s">
        <v>18</v>
      </c>
      <c r="C305" t="s">
        <v>19</v>
      </c>
      <c r="D305" t="s">
        <v>20</v>
      </c>
      <c r="E305" t="s">
        <v>42</v>
      </c>
      <c r="F305" t="s">
        <v>22</v>
      </c>
      <c r="G305">
        <v>42.32</v>
      </c>
      <c r="H305">
        <v>9</v>
      </c>
      <c r="I305">
        <v>19.04</v>
      </c>
      <c r="J305">
        <v>399.92</v>
      </c>
      <c r="K305" t="s">
        <v>196</v>
      </c>
      <c r="L305" t="s">
        <v>261</v>
      </c>
      <c r="M305" t="s">
        <v>25</v>
      </c>
      <c r="N305">
        <v>380.88</v>
      </c>
      <c r="O305">
        <v>4.7618999999999998</v>
      </c>
      <c r="P305">
        <v>19.04</v>
      </c>
      <c r="Q305">
        <v>5.9</v>
      </c>
      <c r="R305" s="8">
        <f t="shared" si="4"/>
        <v>43528</v>
      </c>
    </row>
    <row r="306" spans="1:18" x14ac:dyDescent="0.35">
      <c r="A306" t="s">
        <v>544</v>
      </c>
      <c r="B306" t="s">
        <v>68</v>
      </c>
      <c r="C306" t="s">
        <v>69</v>
      </c>
      <c r="D306" t="s">
        <v>20</v>
      </c>
      <c r="E306" t="s">
        <v>42</v>
      </c>
      <c r="F306" t="s">
        <v>50</v>
      </c>
      <c r="G306">
        <v>29.71</v>
      </c>
      <c r="H306">
        <v>5</v>
      </c>
      <c r="I306">
        <v>7.43</v>
      </c>
      <c r="J306">
        <v>155.97999999999999</v>
      </c>
      <c r="K306" t="s">
        <v>90</v>
      </c>
      <c r="L306" t="s">
        <v>66</v>
      </c>
      <c r="M306" t="s">
        <v>35</v>
      </c>
      <c r="N306">
        <v>148.55000000000001</v>
      </c>
      <c r="O306">
        <v>4.7618999999999998</v>
      </c>
      <c r="P306">
        <v>7.43</v>
      </c>
      <c r="Q306">
        <v>8.6</v>
      </c>
      <c r="R306" s="8">
        <f t="shared" si="4"/>
        <v>43473</v>
      </c>
    </row>
    <row r="307" spans="1:18" x14ac:dyDescent="0.35">
      <c r="A307" t="s">
        <v>545</v>
      </c>
      <c r="B307" t="s">
        <v>68</v>
      </c>
      <c r="C307" t="s">
        <v>69</v>
      </c>
      <c r="D307" t="s">
        <v>20</v>
      </c>
      <c r="E307" t="s">
        <v>21</v>
      </c>
      <c r="F307" t="s">
        <v>22</v>
      </c>
      <c r="G307">
        <v>31.7</v>
      </c>
      <c r="H307">
        <v>9</v>
      </c>
      <c r="I307">
        <v>14.27</v>
      </c>
      <c r="J307">
        <v>299.57</v>
      </c>
      <c r="K307" t="s">
        <v>90</v>
      </c>
      <c r="L307" t="s">
        <v>348</v>
      </c>
      <c r="M307" t="s">
        <v>35</v>
      </c>
      <c r="N307">
        <v>285.3</v>
      </c>
      <c r="O307">
        <v>4.7618999999999998</v>
      </c>
      <c r="P307">
        <v>14.27</v>
      </c>
      <c r="Q307">
        <v>6.1</v>
      </c>
      <c r="R307" s="8">
        <f t="shared" si="4"/>
        <v>43473</v>
      </c>
    </row>
    <row r="308" spans="1:18" x14ac:dyDescent="0.35">
      <c r="A308" t="s">
        <v>546</v>
      </c>
      <c r="B308" t="s">
        <v>68</v>
      </c>
      <c r="C308" t="s">
        <v>69</v>
      </c>
      <c r="D308" t="s">
        <v>20</v>
      </c>
      <c r="E308" t="s">
        <v>21</v>
      </c>
      <c r="F308" t="s">
        <v>50</v>
      </c>
      <c r="G308">
        <v>38.619999999999997</v>
      </c>
      <c r="H308">
        <v>6</v>
      </c>
      <c r="I308">
        <v>11.59</v>
      </c>
      <c r="J308">
        <v>243.31</v>
      </c>
      <c r="K308" t="s">
        <v>82</v>
      </c>
      <c r="L308" t="s">
        <v>507</v>
      </c>
      <c r="M308" t="s">
        <v>25</v>
      </c>
      <c r="N308">
        <v>231.72</v>
      </c>
      <c r="O308">
        <v>4.7618999999999998</v>
      </c>
      <c r="P308">
        <v>11.59</v>
      </c>
      <c r="Q308">
        <v>6.1</v>
      </c>
      <c r="R308" s="8">
        <f t="shared" si="4"/>
        <v>43541</v>
      </c>
    </row>
    <row r="309" spans="1:18" x14ac:dyDescent="0.35">
      <c r="A309" t="s">
        <v>547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58.79</v>
      </c>
      <c r="H309">
        <v>3</v>
      </c>
      <c r="I309">
        <v>8.82</v>
      </c>
      <c r="J309">
        <v>185.19</v>
      </c>
      <c r="K309" t="s">
        <v>196</v>
      </c>
      <c r="L309" t="s">
        <v>122</v>
      </c>
      <c r="M309" t="s">
        <v>45</v>
      </c>
      <c r="N309">
        <v>176.37</v>
      </c>
      <c r="O309">
        <v>4.7618999999999998</v>
      </c>
      <c r="P309">
        <v>8.82</v>
      </c>
      <c r="Q309">
        <v>5.4</v>
      </c>
      <c r="R309" s="8">
        <f t="shared" si="4"/>
        <v>43528</v>
      </c>
    </row>
    <row r="310" spans="1:18" x14ac:dyDescent="0.35">
      <c r="A310" t="s">
        <v>548</v>
      </c>
      <c r="B310" t="s">
        <v>68</v>
      </c>
      <c r="C310" t="s">
        <v>69</v>
      </c>
      <c r="D310" t="s">
        <v>27</v>
      </c>
      <c r="E310" t="s">
        <v>21</v>
      </c>
      <c r="F310" t="s">
        <v>61</v>
      </c>
      <c r="G310">
        <v>92.61</v>
      </c>
      <c r="H310">
        <v>4</v>
      </c>
      <c r="I310">
        <v>18.52</v>
      </c>
      <c r="J310">
        <v>388.96</v>
      </c>
      <c r="K310" t="s">
        <v>124</v>
      </c>
      <c r="L310" t="s">
        <v>246</v>
      </c>
      <c r="M310" t="s">
        <v>45</v>
      </c>
      <c r="N310">
        <v>370.44</v>
      </c>
      <c r="O310">
        <v>4.7618999999999998</v>
      </c>
      <c r="P310">
        <v>18.52</v>
      </c>
      <c r="Q310">
        <v>9.5</v>
      </c>
      <c r="R310" s="8">
        <f t="shared" si="4"/>
        <v>43482</v>
      </c>
    </row>
    <row r="311" spans="1:18" x14ac:dyDescent="0.35">
      <c r="A311" t="s">
        <v>549</v>
      </c>
      <c r="B311" t="s">
        <v>37</v>
      </c>
      <c r="C311" t="s">
        <v>38</v>
      </c>
      <c r="D311" t="s">
        <v>20</v>
      </c>
      <c r="E311" t="s">
        <v>21</v>
      </c>
      <c r="F311" t="s">
        <v>54</v>
      </c>
      <c r="G311">
        <v>62.79</v>
      </c>
      <c r="H311">
        <v>3</v>
      </c>
      <c r="I311">
        <v>9.42</v>
      </c>
      <c r="J311">
        <v>197.79</v>
      </c>
      <c r="K311" t="s">
        <v>209</v>
      </c>
      <c r="L311" t="s">
        <v>297</v>
      </c>
      <c r="M311" t="s">
        <v>45</v>
      </c>
      <c r="N311">
        <v>188.37</v>
      </c>
      <c r="O311">
        <v>4.7618999999999998</v>
      </c>
      <c r="P311">
        <v>9.42</v>
      </c>
      <c r="Q311">
        <v>6.2</v>
      </c>
      <c r="R311" s="8">
        <f t="shared" si="4"/>
        <v>43480</v>
      </c>
    </row>
    <row r="312" spans="1:18" x14ac:dyDescent="0.35">
      <c r="A312" t="s">
        <v>550</v>
      </c>
      <c r="B312" t="s">
        <v>37</v>
      </c>
      <c r="C312" t="s">
        <v>38</v>
      </c>
      <c r="D312" t="s">
        <v>20</v>
      </c>
      <c r="E312" t="s">
        <v>42</v>
      </c>
      <c r="F312" t="s">
        <v>61</v>
      </c>
      <c r="G312">
        <v>39.03</v>
      </c>
      <c r="H312">
        <v>3</v>
      </c>
      <c r="I312">
        <v>5.85</v>
      </c>
      <c r="J312">
        <v>122.94</v>
      </c>
      <c r="K312" t="s">
        <v>70</v>
      </c>
      <c r="L312" t="s">
        <v>491</v>
      </c>
      <c r="M312" t="s">
        <v>25</v>
      </c>
      <c r="N312">
        <v>117.09</v>
      </c>
      <c r="O312">
        <v>4.7618999999999998</v>
      </c>
      <c r="P312">
        <v>5.85</v>
      </c>
      <c r="Q312">
        <v>5.9</v>
      </c>
      <c r="R312" s="8">
        <f t="shared" si="4"/>
        <v>43521</v>
      </c>
    </row>
    <row r="313" spans="1:18" x14ac:dyDescent="0.35">
      <c r="A313" t="s">
        <v>551</v>
      </c>
      <c r="B313" t="s">
        <v>18</v>
      </c>
      <c r="C313" t="s">
        <v>19</v>
      </c>
      <c r="D313" t="s">
        <v>27</v>
      </c>
      <c r="E313" t="s">
        <v>21</v>
      </c>
      <c r="F313" t="s">
        <v>22</v>
      </c>
      <c r="G313">
        <v>63.01</v>
      </c>
      <c r="H313">
        <v>3</v>
      </c>
      <c r="I313">
        <v>9.4499999999999993</v>
      </c>
      <c r="J313">
        <v>198.48</v>
      </c>
      <c r="K313" t="s">
        <v>425</v>
      </c>
      <c r="L313" t="s">
        <v>326</v>
      </c>
      <c r="M313" t="s">
        <v>25</v>
      </c>
      <c r="N313">
        <v>189.03</v>
      </c>
      <c r="O313">
        <v>4.7618999999999998</v>
      </c>
      <c r="P313">
        <v>9.4499999999999993</v>
      </c>
      <c r="Q313">
        <v>5.8</v>
      </c>
      <c r="R313" s="8">
        <f t="shared" si="4"/>
        <v>43514</v>
      </c>
    </row>
    <row r="314" spans="1:18" x14ac:dyDescent="0.35">
      <c r="A314" t="s">
        <v>552</v>
      </c>
      <c r="B314" t="s">
        <v>18</v>
      </c>
      <c r="C314" t="s">
        <v>19</v>
      </c>
      <c r="D314" t="s">
        <v>20</v>
      </c>
      <c r="E314" t="s">
        <v>42</v>
      </c>
      <c r="F314" t="s">
        <v>50</v>
      </c>
      <c r="G314">
        <v>12.91</v>
      </c>
      <c r="H314">
        <v>10</v>
      </c>
      <c r="I314">
        <v>6.46</v>
      </c>
      <c r="J314">
        <v>135.56</v>
      </c>
      <c r="K314" t="s">
        <v>251</v>
      </c>
      <c r="L314" t="s">
        <v>143</v>
      </c>
      <c r="M314" t="s">
        <v>25</v>
      </c>
      <c r="N314">
        <v>129.1</v>
      </c>
      <c r="O314">
        <v>4.7618999999999998</v>
      </c>
      <c r="P314">
        <v>6.46</v>
      </c>
      <c r="Q314">
        <v>7.4</v>
      </c>
      <c r="R314" s="8">
        <f t="shared" si="4"/>
        <v>43506</v>
      </c>
    </row>
    <row r="315" spans="1:18" x14ac:dyDescent="0.35">
      <c r="A315" t="s">
        <v>553</v>
      </c>
      <c r="B315" t="s">
        <v>68</v>
      </c>
      <c r="C315" t="s">
        <v>69</v>
      </c>
      <c r="D315" t="s">
        <v>27</v>
      </c>
      <c r="E315" t="s">
        <v>21</v>
      </c>
      <c r="F315" t="s">
        <v>54</v>
      </c>
      <c r="G315">
        <v>41.21</v>
      </c>
      <c r="H315">
        <v>6</v>
      </c>
      <c r="I315">
        <v>12.36</v>
      </c>
      <c r="J315">
        <v>259.62</v>
      </c>
      <c r="K315" t="s">
        <v>175</v>
      </c>
      <c r="L315" t="s">
        <v>473</v>
      </c>
      <c r="M315" t="s">
        <v>25</v>
      </c>
      <c r="N315">
        <v>247.26</v>
      </c>
      <c r="O315">
        <v>4.7618999999999998</v>
      </c>
      <c r="P315">
        <v>12.36</v>
      </c>
      <c r="Q315">
        <v>8</v>
      </c>
      <c r="R315" s="8">
        <f t="shared" si="4"/>
        <v>43487</v>
      </c>
    </row>
    <row r="316" spans="1:18" x14ac:dyDescent="0.35">
      <c r="A316" t="s">
        <v>554</v>
      </c>
      <c r="B316" t="s">
        <v>37</v>
      </c>
      <c r="C316" t="s">
        <v>38</v>
      </c>
      <c r="D316" t="s">
        <v>27</v>
      </c>
      <c r="E316" t="s">
        <v>21</v>
      </c>
      <c r="F316" t="s">
        <v>61</v>
      </c>
      <c r="G316">
        <v>28.87</v>
      </c>
      <c r="H316">
        <v>2</v>
      </c>
      <c r="I316">
        <v>2.89</v>
      </c>
      <c r="J316">
        <v>60.63</v>
      </c>
      <c r="K316" t="s">
        <v>315</v>
      </c>
      <c r="L316" t="s">
        <v>56</v>
      </c>
      <c r="M316" t="s">
        <v>25</v>
      </c>
      <c r="N316">
        <v>57.74</v>
      </c>
      <c r="O316">
        <v>4.7618999999999998</v>
      </c>
      <c r="P316">
        <v>2.89</v>
      </c>
      <c r="Q316">
        <v>4</v>
      </c>
      <c r="R316" s="8">
        <f t="shared" si="4"/>
        <v>43510</v>
      </c>
    </row>
    <row r="317" spans="1:18" x14ac:dyDescent="0.35">
      <c r="A317" t="s">
        <v>555</v>
      </c>
      <c r="B317" t="s">
        <v>37</v>
      </c>
      <c r="C317" t="s">
        <v>38</v>
      </c>
      <c r="D317" t="s">
        <v>27</v>
      </c>
      <c r="E317" t="s">
        <v>21</v>
      </c>
      <c r="F317" t="s">
        <v>32</v>
      </c>
      <c r="G317">
        <v>54.38</v>
      </c>
      <c r="H317">
        <v>7</v>
      </c>
      <c r="I317">
        <v>19.03</v>
      </c>
      <c r="J317">
        <v>399.69</v>
      </c>
      <c r="K317" t="s">
        <v>315</v>
      </c>
      <c r="L317" t="s">
        <v>128</v>
      </c>
      <c r="M317" t="s">
        <v>45</v>
      </c>
      <c r="N317">
        <v>380.66</v>
      </c>
      <c r="O317">
        <v>4.7618999999999998</v>
      </c>
      <c r="P317">
        <v>19.03</v>
      </c>
      <c r="Q317">
        <v>9</v>
      </c>
      <c r="R317" s="8">
        <f t="shared" si="4"/>
        <v>43510</v>
      </c>
    </row>
    <row r="318" spans="1:18" x14ac:dyDescent="0.35">
      <c r="A318" t="s">
        <v>556</v>
      </c>
      <c r="B318" t="s">
        <v>18</v>
      </c>
      <c r="C318" t="s">
        <v>19</v>
      </c>
      <c r="D318" t="s">
        <v>20</v>
      </c>
      <c r="E318" t="s">
        <v>21</v>
      </c>
      <c r="F318" t="s">
        <v>32</v>
      </c>
      <c r="G318">
        <v>16.63</v>
      </c>
      <c r="H318">
        <v>1</v>
      </c>
      <c r="I318">
        <v>0.83</v>
      </c>
      <c r="J318">
        <v>17.46</v>
      </c>
      <c r="K318" t="s">
        <v>269</v>
      </c>
      <c r="L318" t="s">
        <v>284</v>
      </c>
      <c r="M318" t="s">
        <v>35</v>
      </c>
      <c r="N318">
        <v>16.63</v>
      </c>
      <c r="O318">
        <v>4.7618999999999998</v>
      </c>
      <c r="P318">
        <v>0.83</v>
      </c>
      <c r="Q318">
        <v>9.6999999999999993</v>
      </c>
      <c r="R318" s="8">
        <f t="shared" si="4"/>
        <v>43503</v>
      </c>
    </row>
    <row r="319" spans="1:18" x14ac:dyDescent="0.35">
      <c r="A319" t="s">
        <v>557</v>
      </c>
      <c r="B319" t="s">
        <v>37</v>
      </c>
      <c r="C319" t="s">
        <v>38</v>
      </c>
      <c r="D319" t="s">
        <v>20</v>
      </c>
      <c r="E319" t="s">
        <v>42</v>
      </c>
      <c r="F319" t="s">
        <v>54</v>
      </c>
      <c r="G319">
        <v>75.88</v>
      </c>
      <c r="H319">
        <v>9</v>
      </c>
      <c r="I319">
        <v>34.15</v>
      </c>
      <c r="J319">
        <v>717.07</v>
      </c>
      <c r="K319" t="s">
        <v>96</v>
      </c>
      <c r="L319" t="s">
        <v>261</v>
      </c>
      <c r="M319" t="s">
        <v>25</v>
      </c>
      <c r="N319">
        <v>682.92</v>
      </c>
      <c r="O319">
        <v>4.7618999999999998</v>
      </c>
      <c r="P319">
        <v>34.15</v>
      </c>
      <c r="Q319">
        <v>9.4</v>
      </c>
      <c r="R319" s="8">
        <f t="shared" si="4"/>
        <v>43477</v>
      </c>
    </row>
    <row r="320" spans="1:18" x14ac:dyDescent="0.35">
      <c r="A320" t="s">
        <v>558</v>
      </c>
      <c r="B320" t="s">
        <v>68</v>
      </c>
      <c r="C320" t="s">
        <v>69</v>
      </c>
      <c r="D320" t="s">
        <v>27</v>
      </c>
      <c r="E320" t="s">
        <v>21</v>
      </c>
      <c r="F320" t="s">
        <v>50</v>
      </c>
      <c r="G320">
        <v>90.08</v>
      </c>
      <c r="H320">
        <v>3</v>
      </c>
      <c r="I320">
        <v>13.51</v>
      </c>
      <c r="J320">
        <v>283.75</v>
      </c>
      <c r="K320" t="s">
        <v>387</v>
      </c>
      <c r="L320" t="s">
        <v>382</v>
      </c>
      <c r="M320" t="s">
        <v>45</v>
      </c>
      <c r="N320">
        <v>270.24</v>
      </c>
      <c r="O320">
        <v>4.7618999999999998</v>
      </c>
      <c r="P320">
        <v>13.51</v>
      </c>
      <c r="Q320">
        <v>9.8000000000000007</v>
      </c>
      <c r="R320" s="8">
        <f t="shared" si="4"/>
        <v>43472</v>
      </c>
    </row>
    <row r="321" spans="1:18" x14ac:dyDescent="0.35">
      <c r="A321" t="s">
        <v>559</v>
      </c>
      <c r="B321" t="s">
        <v>18</v>
      </c>
      <c r="C321" t="s">
        <v>19</v>
      </c>
      <c r="D321" t="s">
        <v>27</v>
      </c>
      <c r="E321" t="s">
        <v>42</v>
      </c>
      <c r="F321" t="s">
        <v>61</v>
      </c>
      <c r="G321">
        <v>31.38</v>
      </c>
      <c r="H321">
        <v>1</v>
      </c>
      <c r="I321">
        <v>1.57</v>
      </c>
      <c r="J321">
        <v>32.950000000000003</v>
      </c>
      <c r="K321" t="s">
        <v>560</v>
      </c>
      <c r="L321" t="s">
        <v>299</v>
      </c>
      <c r="M321" t="s">
        <v>35</v>
      </c>
      <c r="N321">
        <v>31.38</v>
      </c>
      <c r="O321">
        <v>4.7618999999999998</v>
      </c>
      <c r="P321">
        <v>1.57</v>
      </c>
      <c r="Q321">
        <v>4.9000000000000004</v>
      </c>
      <c r="R321" s="8">
        <f t="shared" si="4"/>
        <v>43516</v>
      </c>
    </row>
    <row r="322" spans="1:18" x14ac:dyDescent="0.35">
      <c r="A322" t="s">
        <v>561</v>
      </c>
      <c r="B322" t="s">
        <v>68</v>
      </c>
      <c r="C322" t="s">
        <v>69</v>
      </c>
      <c r="D322" t="s">
        <v>27</v>
      </c>
      <c r="E322" t="s">
        <v>21</v>
      </c>
      <c r="F322" t="s">
        <v>61</v>
      </c>
      <c r="G322">
        <v>84.15</v>
      </c>
      <c r="H322">
        <v>10</v>
      </c>
      <c r="I322">
        <v>42.08</v>
      </c>
      <c r="J322">
        <v>883.58</v>
      </c>
      <c r="K322" t="s">
        <v>412</v>
      </c>
      <c r="L322" t="s">
        <v>212</v>
      </c>
      <c r="M322" t="s">
        <v>45</v>
      </c>
      <c r="N322">
        <v>841.5</v>
      </c>
      <c r="O322">
        <v>4.7618999999999998</v>
      </c>
      <c r="P322">
        <v>42.08</v>
      </c>
      <c r="Q322">
        <v>5.2</v>
      </c>
      <c r="R322" s="8">
        <f t="shared" si="4"/>
        <v>43527</v>
      </c>
    </row>
    <row r="323" spans="1:18" x14ac:dyDescent="0.35">
      <c r="A323" t="s">
        <v>562</v>
      </c>
      <c r="B323" t="s">
        <v>37</v>
      </c>
      <c r="C323" t="s">
        <v>38</v>
      </c>
      <c r="D323" t="s">
        <v>20</v>
      </c>
      <c r="E323" t="s">
        <v>42</v>
      </c>
      <c r="F323" t="s">
        <v>28</v>
      </c>
      <c r="G323">
        <v>37.75</v>
      </c>
      <c r="H323">
        <v>7</v>
      </c>
      <c r="I323">
        <v>13.21</v>
      </c>
      <c r="J323">
        <v>277.45999999999998</v>
      </c>
      <c r="K323" t="s">
        <v>226</v>
      </c>
      <c r="L323" t="s">
        <v>370</v>
      </c>
      <c r="M323" t="s">
        <v>35</v>
      </c>
      <c r="N323">
        <v>264.25</v>
      </c>
      <c r="O323">
        <v>4.7618999999999998</v>
      </c>
      <c r="P323">
        <v>13.21</v>
      </c>
      <c r="Q323">
        <v>4.5</v>
      </c>
      <c r="R323" s="8">
        <f t="shared" ref="R323:R386" si="5">DATEVALUE(K323)</f>
        <v>43526</v>
      </c>
    </row>
    <row r="324" spans="1:18" x14ac:dyDescent="0.35">
      <c r="A324" t="s">
        <v>563</v>
      </c>
      <c r="B324" t="s">
        <v>37</v>
      </c>
      <c r="C324" t="s">
        <v>38</v>
      </c>
      <c r="D324" t="s">
        <v>20</v>
      </c>
      <c r="E324" t="s">
        <v>42</v>
      </c>
      <c r="F324" t="s">
        <v>32</v>
      </c>
      <c r="G324">
        <v>43.25</v>
      </c>
      <c r="H324">
        <v>8</v>
      </c>
      <c r="I324">
        <v>17.3</v>
      </c>
      <c r="J324">
        <v>363.3</v>
      </c>
      <c r="K324" t="s">
        <v>245</v>
      </c>
      <c r="L324" t="s">
        <v>94</v>
      </c>
      <c r="M324" t="s">
        <v>35</v>
      </c>
      <c r="N324">
        <v>346</v>
      </c>
      <c r="O324">
        <v>4.7618999999999998</v>
      </c>
      <c r="P324">
        <v>17.3</v>
      </c>
      <c r="Q324">
        <v>5.6</v>
      </c>
      <c r="R324" s="8">
        <f t="shared" si="5"/>
        <v>43471</v>
      </c>
    </row>
    <row r="325" spans="1:18" x14ac:dyDescent="0.35">
      <c r="A325" t="s">
        <v>564</v>
      </c>
      <c r="B325" t="s">
        <v>37</v>
      </c>
      <c r="C325" t="s">
        <v>38</v>
      </c>
      <c r="D325" t="s">
        <v>20</v>
      </c>
      <c r="E325" t="s">
        <v>21</v>
      </c>
      <c r="F325" t="s">
        <v>22</v>
      </c>
      <c r="G325">
        <v>70.069999999999993</v>
      </c>
      <c r="H325">
        <v>2</v>
      </c>
      <c r="I325">
        <v>7.01</v>
      </c>
      <c r="J325">
        <v>147.15</v>
      </c>
      <c r="K325" t="s">
        <v>109</v>
      </c>
      <c r="L325" t="s">
        <v>391</v>
      </c>
      <c r="M325" t="s">
        <v>35</v>
      </c>
      <c r="N325">
        <v>140.13999999999999</v>
      </c>
      <c r="O325">
        <v>4.7618999999999998</v>
      </c>
      <c r="P325">
        <v>7.01</v>
      </c>
      <c r="Q325">
        <v>9.8000000000000007</v>
      </c>
      <c r="R325" s="8">
        <f t="shared" si="5"/>
        <v>43551</v>
      </c>
    </row>
    <row r="326" spans="1:18" x14ac:dyDescent="0.35">
      <c r="A326" t="s">
        <v>565</v>
      </c>
      <c r="B326" t="s">
        <v>68</v>
      </c>
      <c r="C326" t="s">
        <v>69</v>
      </c>
      <c r="D326" t="s">
        <v>20</v>
      </c>
      <c r="E326" t="s">
        <v>42</v>
      </c>
      <c r="F326" t="s">
        <v>50</v>
      </c>
      <c r="G326">
        <v>47.68</v>
      </c>
      <c r="H326">
        <v>9</v>
      </c>
      <c r="I326">
        <v>21.46</v>
      </c>
      <c r="J326">
        <v>450.58</v>
      </c>
      <c r="K326" t="s">
        <v>295</v>
      </c>
      <c r="L326" t="s">
        <v>344</v>
      </c>
      <c r="M326" t="s">
        <v>45</v>
      </c>
      <c r="N326">
        <v>429.12</v>
      </c>
      <c r="O326">
        <v>4.7618999999999998</v>
      </c>
      <c r="P326">
        <v>21.46</v>
      </c>
      <c r="Q326">
        <v>6.9</v>
      </c>
      <c r="R326" s="8">
        <f t="shared" si="5"/>
        <v>43553</v>
      </c>
    </row>
    <row r="327" spans="1:18" x14ac:dyDescent="0.35">
      <c r="A327" t="s">
        <v>566</v>
      </c>
      <c r="B327" t="s">
        <v>37</v>
      </c>
      <c r="C327" t="s">
        <v>38</v>
      </c>
      <c r="D327" t="s">
        <v>20</v>
      </c>
      <c r="E327" t="s">
        <v>21</v>
      </c>
      <c r="F327" t="s">
        <v>28</v>
      </c>
      <c r="G327">
        <v>95.43</v>
      </c>
      <c r="H327">
        <v>8</v>
      </c>
      <c r="I327">
        <v>38.17</v>
      </c>
      <c r="J327">
        <v>801.61</v>
      </c>
      <c r="K327" t="s">
        <v>139</v>
      </c>
      <c r="L327" t="s">
        <v>148</v>
      </c>
      <c r="M327" t="s">
        <v>45</v>
      </c>
      <c r="N327">
        <v>763.44</v>
      </c>
      <c r="O327">
        <v>4.7618999999999998</v>
      </c>
      <c r="P327">
        <v>38.17</v>
      </c>
      <c r="Q327">
        <v>4.8</v>
      </c>
      <c r="R327" s="8">
        <f t="shared" si="5"/>
        <v>43488</v>
      </c>
    </row>
    <row r="328" spans="1:18" x14ac:dyDescent="0.35">
      <c r="A328" t="s">
        <v>567</v>
      </c>
      <c r="B328" t="s">
        <v>68</v>
      </c>
      <c r="C328" t="s">
        <v>69</v>
      </c>
      <c r="D328" t="s">
        <v>27</v>
      </c>
      <c r="E328" t="s">
        <v>21</v>
      </c>
      <c r="F328" t="s">
        <v>22</v>
      </c>
      <c r="G328">
        <v>23.31</v>
      </c>
      <c r="H328">
        <v>10</v>
      </c>
      <c r="I328">
        <v>11.66</v>
      </c>
      <c r="J328">
        <v>244.76</v>
      </c>
      <c r="K328" t="s">
        <v>99</v>
      </c>
      <c r="L328" t="s">
        <v>246</v>
      </c>
      <c r="M328" t="s">
        <v>45</v>
      </c>
      <c r="N328">
        <v>233.1</v>
      </c>
      <c r="O328">
        <v>4.7618999999999998</v>
      </c>
      <c r="P328">
        <v>11.66</v>
      </c>
      <c r="Q328">
        <v>4.5</v>
      </c>
      <c r="R328" s="8">
        <f t="shared" si="5"/>
        <v>43499</v>
      </c>
    </row>
    <row r="329" spans="1:18" x14ac:dyDescent="0.35">
      <c r="A329" t="s">
        <v>568</v>
      </c>
      <c r="B329" t="s">
        <v>37</v>
      </c>
      <c r="C329" t="s">
        <v>38</v>
      </c>
      <c r="D329" t="s">
        <v>27</v>
      </c>
      <c r="E329" t="s">
        <v>42</v>
      </c>
      <c r="F329" t="s">
        <v>50</v>
      </c>
      <c r="G329">
        <v>51.23</v>
      </c>
      <c r="H329">
        <v>1</v>
      </c>
      <c r="I329">
        <v>2.56</v>
      </c>
      <c r="J329">
        <v>53.79</v>
      </c>
      <c r="K329" t="s">
        <v>145</v>
      </c>
      <c r="L329" t="s">
        <v>299</v>
      </c>
      <c r="M329" t="s">
        <v>35</v>
      </c>
      <c r="N329">
        <v>51.23</v>
      </c>
      <c r="O329">
        <v>4.7618999999999998</v>
      </c>
      <c r="P329">
        <v>2.56</v>
      </c>
      <c r="Q329">
        <v>4.7</v>
      </c>
      <c r="R329" s="8">
        <f t="shared" si="5"/>
        <v>43545</v>
      </c>
    </row>
    <row r="330" spans="1:18" x14ac:dyDescent="0.35">
      <c r="A330" t="s">
        <v>569</v>
      </c>
      <c r="B330" t="s">
        <v>68</v>
      </c>
      <c r="C330" t="s">
        <v>69</v>
      </c>
      <c r="D330" t="s">
        <v>20</v>
      </c>
      <c r="E330" t="s">
        <v>21</v>
      </c>
      <c r="F330" t="s">
        <v>50</v>
      </c>
      <c r="G330">
        <v>80.16</v>
      </c>
      <c r="H330">
        <v>5</v>
      </c>
      <c r="I330">
        <v>20.04</v>
      </c>
      <c r="J330">
        <v>420.84</v>
      </c>
      <c r="K330" t="s">
        <v>336</v>
      </c>
      <c r="L330" t="s">
        <v>466</v>
      </c>
      <c r="M330" t="s">
        <v>35</v>
      </c>
      <c r="N330">
        <v>400.8</v>
      </c>
      <c r="O330">
        <v>4.7618999999999998</v>
      </c>
      <c r="P330">
        <v>20.04</v>
      </c>
      <c r="Q330">
        <v>6.3</v>
      </c>
      <c r="R330" s="8">
        <f t="shared" si="5"/>
        <v>43534</v>
      </c>
    </row>
    <row r="331" spans="1:18" x14ac:dyDescent="0.35">
      <c r="A331" t="s">
        <v>570</v>
      </c>
      <c r="B331" t="s">
        <v>18</v>
      </c>
      <c r="C331" t="s">
        <v>19</v>
      </c>
      <c r="D331" t="s">
        <v>27</v>
      </c>
      <c r="E331" t="s">
        <v>21</v>
      </c>
      <c r="F331" t="s">
        <v>54</v>
      </c>
      <c r="G331">
        <v>34.79</v>
      </c>
      <c r="H331">
        <v>3</v>
      </c>
      <c r="I331">
        <v>5.22</v>
      </c>
      <c r="J331">
        <v>109.59</v>
      </c>
      <c r="K331" t="s">
        <v>145</v>
      </c>
      <c r="L331" t="s">
        <v>114</v>
      </c>
      <c r="M331" t="s">
        <v>25</v>
      </c>
      <c r="N331">
        <v>104.37</v>
      </c>
      <c r="O331">
        <v>4.7618999999999998</v>
      </c>
      <c r="P331">
        <v>5.22</v>
      </c>
      <c r="Q331">
        <v>6.4</v>
      </c>
      <c r="R331" s="8">
        <f t="shared" si="5"/>
        <v>43545</v>
      </c>
    </row>
    <row r="332" spans="1:18" x14ac:dyDescent="0.35">
      <c r="A332" t="s">
        <v>571</v>
      </c>
      <c r="B332" t="s">
        <v>37</v>
      </c>
      <c r="C332" t="s">
        <v>38</v>
      </c>
      <c r="D332" t="s">
        <v>20</v>
      </c>
      <c r="E332" t="s">
        <v>21</v>
      </c>
      <c r="F332" t="s">
        <v>22</v>
      </c>
      <c r="G332">
        <v>52.77</v>
      </c>
      <c r="H332">
        <v>5</v>
      </c>
      <c r="I332">
        <v>13.19</v>
      </c>
      <c r="J332">
        <v>277.04000000000002</v>
      </c>
      <c r="K332" t="s">
        <v>320</v>
      </c>
      <c r="L332" t="s">
        <v>284</v>
      </c>
      <c r="M332" t="s">
        <v>35</v>
      </c>
      <c r="N332">
        <v>263.85000000000002</v>
      </c>
      <c r="O332">
        <v>4.7618999999999998</v>
      </c>
      <c r="P332">
        <v>13.19</v>
      </c>
      <c r="Q332">
        <v>5.9</v>
      </c>
      <c r="R332" s="8">
        <f t="shared" si="5"/>
        <v>43513</v>
      </c>
    </row>
    <row r="333" spans="1:18" x14ac:dyDescent="0.35">
      <c r="A333" t="s">
        <v>572</v>
      </c>
      <c r="B333" t="s">
        <v>37</v>
      </c>
      <c r="C333" t="s">
        <v>38</v>
      </c>
      <c r="D333" t="s">
        <v>20</v>
      </c>
      <c r="E333" t="s">
        <v>21</v>
      </c>
      <c r="F333" t="s">
        <v>54</v>
      </c>
      <c r="G333">
        <v>37.04</v>
      </c>
      <c r="H333">
        <v>8</v>
      </c>
      <c r="I333">
        <v>14.82</v>
      </c>
      <c r="J333">
        <v>311.14</v>
      </c>
      <c r="K333" t="s">
        <v>266</v>
      </c>
      <c r="L333" t="s">
        <v>326</v>
      </c>
      <c r="M333" t="s">
        <v>35</v>
      </c>
      <c r="N333">
        <v>296.32</v>
      </c>
      <c r="O333">
        <v>4.7618999999999998</v>
      </c>
      <c r="P333">
        <v>14.82</v>
      </c>
      <c r="Q333">
        <v>7.6</v>
      </c>
      <c r="R333" s="8">
        <f t="shared" si="5"/>
        <v>43507</v>
      </c>
    </row>
    <row r="334" spans="1:18" x14ac:dyDescent="0.35">
      <c r="A334" t="s">
        <v>573</v>
      </c>
      <c r="B334" t="s">
        <v>68</v>
      </c>
      <c r="C334" t="s">
        <v>69</v>
      </c>
      <c r="D334" t="s">
        <v>27</v>
      </c>
      <c r="E334" t="s">
        <v>21</v>
      </c>
      <c r="F334" t="s">
        <v>32</v>
      </c>
      <c r="G334">
        <v>76.69</v>
      </c>
      <c r="H334">
        <v>9</v>
      </c>
      <c r="I334">
        <v>34.51</v>
      </c>
      <c r="J334">
        <v>724.72</v>
      </c>
      <c r="K334" t="s">
        <v>320</v>
      </c>
      <c r="L334" t="s">
        <v>158</v>
      </c>
      <c r="M334" t="s">
        <v>45</v>
      </c>
      <c r="N334">
        <v>690.21</v>
      </c>
      <c r="O334">
        <v>4.7618999999999998</v>
      </c>
      <c r="P334">
        <v>34.51</v>
      </c>
      <c r="Q334">
        <v>4.4000000000000004</v>
      </c>
      <c r="R334" s="8">
        <f t="shared" si="5"/>
        <v>43513</v>
      </c>
    </row>
    <row r="335" spans="1:18" x14ac:dyDescent="0.35">
      <c r="A335" t="s">
        <v>574</v>
      </c>
      <c r="B335" t="s">
        <v>18</v>
      </c>
      <c r="C335" t="s">
        <v>19</v>
      </c>
      <c r="D335" t="s">
        <v>27</v>
      </c>
      <c r="E335" t="s">
        <v>21</v>
      </c>
      <c r="F335" t="s">
        <v>50</v>
      </c>
      <c r="G335">
        <v>89.14</v>
      </c>
      <c r="H335">
        <v>1</v>
      </c>
      <c r="I335">
        <v>4.46</v>
      </c>
      <c r="J335">
        <v>93.6</v>
      </c>
      <c r="K335" t="s">
        <v>139</v>
      </c>
      <c r="L335" t="s">
        <v>575</v>
      </c>
      <c r="M335" t="s">
        <v>45</v>
      </c>
      <c r="N335">
        <v>89.14</v>
      </c>
      <c r="O335">
        <v>4.7618999999999998</v>
      </c>
      <c r="P335">
        <v>4.46</v>
      </c>
      <c r="Q335">
        <v>5.5</v>
      </c>
      <c r="R335" s="8">
        <f t="shared" si="5"/>
        <v>43488</v>
      </c>
    </row>
    <row r="336" spans="1:18" x14ac:dyDescent="0.35">
      <c r="A336" t="s">
        <v>576</v>
      </c>
      <c r="B336" t="s">
        <v>68</v>
      </c>
      <c r="C336" t="s">
        <v>69</v>
      </c>
      <c r="D336" t="s">
        <v>27</v>
      </c>
      <c r="E336" t="s">
        <v>21</v>
      </c>
      <c r="F336" t="s">
        <v>61</v>
      </c>
      <c r="G336">
        <v>43.15</v>
      </c>
      <c r="H336">
        <v>8</v>
      </c>
      <c r="I336">
        <v>17.260000000000002</v>
      </c>
      <c r="J336">
        <v>362.46</v>
      </c>
      <c r="K336" t="s">
        <v>29</v>
      </c>
      <c r="L336" t="s">
        <v>80</v>
      </c>
      <c r="M336" t="s">
        <v>45</v>
      </c>
      <c r="N336">
        <v>345.2</v>
      </c>
      <c r="O336">
        <v>4.7618999999999998</v>
      </c>
      <c r="P336">
        <v>17.260000000000002</v>
      </c>
      <c r="Q336">
        <v>8.1</v>
      </c>
      <c r="R336" s="8">
        <f t="shared" si="5"/>
        <v>43530</v>
      </c>
    </row>
    <row r="337" spans="1:18" x14ac:dyDescent="0.35">
      <c r="A337" t="s">
        <v>577</v>
      </c>
      <c r="B337" t="s">
        <v>37</v>
      </c>
      <c r="C337" t="s">
        <v>38</v>
      </c>
      <c r="D337" t="s">
        <v>27</v>
      </c>
      <c r="E337" t="s">
        <v>42</v>
      </c>
      <c r="F337" t="s">
        <v>54</v>
      </c>
      <c r="G337">
        <v>96.45</v>
      </c>
      <c r="H337">
        <v>8</v>
      </c>
      <c r="I337">
        <v>38.58</v>
      </c>
      <c r="J337">
        <v>810.18</v>
      </c>
      <c r="K337" t="s">
        <v>82</v>
      </c>
      <c r="L337" t="s">
        <v>297</v>
      </c>
      <c r="M337" t="s">
        <v>35</v>
      </c>
      <c r="N337">
        <v>771.6</v>
      </c>
      <c r="O337">
        <v>4.7618999999999998</v>
      </c>
      <c r="P337">
        <v>38.58</v>
      </c>
      <c r="Q337">
        <v>5</v>
      </c>
      <c r="R337" s="8">
        <f t="shared" si="5"/>
        <v>43541</v>
      </c>
    </row>
    <row r="338" spans="1:18" x14ac:dyDescent="0.35">
      <c r="A338" t="s">
        <v>578</v>
      </c>
      <c r="B338" t="s">
        <v>18</v>
      </c>
      <c r="C338" t="s">
        <v>19</v>
      </c>
      <c r="D338" t="s">
        <v>20</v>
      </c>
      <c r="E338" t="s">
        <v>42</v>
      </c>
      <c r="F338" t="s">
        <v>28</v>
      </c>
      <c r="G338">
        <v>44.79</v>
      </c>
      <c r="H338">
        <v>3</v>
      </c>
      <c r="I338">
        <v>6.72</v>
      </c>
      <c r="J338">
        <v>141.09</v>
      </c>
      <c r="K338" t="s">
        <v>43</v>
      </c>
      <c r="L338" t="s">
        <v>575</v>
      </c>
      <c r="M338" t="s">
        <v>25</v>
      </c>
      <c r="N338">
        <v>134.37</v>
      </c>
      <c r="O338">
        <v>4.7618999999999998</v>
      </c>
      <c r="P338">
        <v>6.72</v>
      </c>
      <c r="Q338">
        <v>5.4</v>
      </c>
      <c r="R338" s="8">
        <f t="shared" si="5"/>
        <v>43539</v>
      </c>
    </row>
    <row r="339" spans="1:18" x14ac:dyDescent="0.35">
      <c r="A339" t="s">
        <v>579</v>
      </c>
      <c r="B339" t="s">
        <v>37</v>
      </c>
      <c r="C339" t="s">
        <v>38</v>
      </c>
      <c r="D339" t="s">
        <v>27</v>
      </c>
      <c r="E339" t="s">
        <v>21</v>
      </c>
      <c r="F339" t="s">
        <v>22</v>
      </c>
      <c r="G339">
        <v>10.8</v>
      </c>
      <c r="H339">
        <v>3</v>
      </c>
      <c r="I339">
        <v>1.62</v>
      </c>
      <c r="J339">
        <v>34.020000000000003</v>
      </c>
      <c r="K339" t="s">
        <v>439</v>
      </c>
      <c r="L339" t="s">
        <v>580</v>
      </c>
      <c r="M339" t="s">
        <v>45</v>
      </c>
      <c r="N339">
        <v>32.4</v>
      </c>
      <c r="O339">
        <v>4.7618999999999998</v>
      </c>
      <c r="P339">
        <v>1.62</v>
      </c>
      <c r="Q339">
        <v>5.3</v>
      </c>
      <c r="R339" s="8">
        <f t="shared" si="5"/>
        <v>43548</v>
      </c>
    </row>
    <row r="340" spans="1:18" x14ac:dyDescent="0.35">
      <c r="A340" t="s">
        <v>581</v>
      </c>
      <c r="B340" t="s">
        <v>37</v>
      </c>
      <c r="C340" t="s">
        <v>38</v>
      </c>
      <c r="D340" t="s">
        <v>27</v>
      </c>
      <c r="E340" t="s">
        <v>42</v>
      </c>
      <c r="F340" t="s">
        <v>32</v>
      </c>
      <c r="G340">
        <v>86.64</v>
      </c>
      <c r="H340">
        <v>8</v>
      </c>
      <c r="I340">
        <v>34.659999999999997</v>
      </c>
      <c r="J340">
        <v>727.78</v>
      </c>
      <c r="K340" t="s">
        <v>179</v>
      </c>
      <c r="L340" t="s">
        <v>173</v>
      </c>
      <c r="M340" t="s">
        <v>35</v>
      </c>
      <c r="N340">
        <v>693.12</v>
      </c>
      <c r="O340">
        <v>4.7618999999999998</v>
      </c>
      <c r="P340">
        <v>34.659999999999997</v>
      </c>
      <c r="Q340">
        <v>8.1</v>
      </c>
      <c r="R340" s="8">
        <f t="shared" si="5"/>
        <v>43498</v>
      </c>
    </row>
    <row r="341" spans="1:18" x14ac:dyDescent="0.35">
      <c r="A341" t="s">
        <v>582</v>
      </c>
      <c r="B341" t="s">
        <v>18</v>
      </c>
      <c r="C341" t="s">
        <v>19</v>
      </c>
      <c r="D341" t="s">
        <v>27</v>
      </c>
      <c r="E341" t="s">
        <v>21</v>
      </c>
      <c r="F341" t="s">
        <v>28</v>
      </c>
      <c r="G341">
        <v>56.04</v>
      </c>
      <c r="H341">
        <v>6</v>
      </c>
      <c r="I341">
        <v>16.809999999999999</v>
      </c>
      <c r="J341">
        <v>353.05</v>
      </c>
      <c r="K341" t="s">
        <v>121</v>
      </c>
      <c r="L341" t="s">
        <v>375</v>
      </c>
      <c r="M341" t="s">
        <v>25</v>
      </c>
      <c r="N341">
        <v>336.24</v>
      </c>
      <c r="O341">
        <v>4.7618999999999998</v>
      </c>
      <c r="P341">
        <v>16.809999999999999</v>
      </c>
      <c r="Q341">
        <v>5.7</v>
      </c>
      <c r="R341" s="8">
        <f t="shared" si="5"/>
        <v>43537</v>
      </c>
    </row>
    <row r="342" spans="1:18" x14ac:dyDescent="0.35">
      <c r="A342" t="s">
        <v>583</v>
      </c>
      <c r="B342" t="s">
        <v>68</v>
      </c>
      <c r="C342" t="s">
        <v>69</v>
      </c>
      <c r="D342" t="s">
        <v>27</v>
      </c>
      <c r="E342" t="s">
        <v>21</v>
      </c>
      <c r="F342" t="s">
        <v>61</v>
      </c>
      <c r="G342">
        <v>98.95</v>
      </c>
      <c r="H342">
        <v>6</v>
      </c>
      <c r="I342">
        <v>29.69</v>
      </c>
      <c r="J342">
        <v>623.39</v>
      </c>
      <c r="K342" t="s">
        <v>136</v>
      </c>
      <c r="L342" t="s">
        <v>259</v>
      </c>
      <c r="M342" t="s">
        <v>25</v>
      </c>
      <c r="N342">
        <v>593.70000000000005</v>
      </c>
      <c r="O342">
        <v>4.7618999999999998</v>
      </c>
      <c r="P342">
        <v>29.69</v>
      </c>
      <c r="Q342">
        <v>9.6999999999999993</v>
      </c>
      <c r="R342" s="8">
        <f t="shared" si="5"/>
        <v>43501</v>
      </c>
    </row>
    <row r="343" spans="1:18" x14ac:dyDescent="0.35">
      <c r="A343" t="s">
        <v>584</v>
      </c>
      <c r="B343" t="s">
        <v>37</v>
      </c>
      <c r="C343" t="s">
        <v>38</v>
      </c>
      <c r="D343" t="s">
        <v>20</v>
      </c>
      <c r="E343" t="s">
        <v>21</v>
      </c>
      <c r="F343" t="s">
        <v>50</v>
      </c>
      <c r="G343">
        <v>78.89</v>
      </c>
      <c r="H343">
        <v>1</v>
      </c>
      <c r="I343">
        <v>3.94</v>
      </c>
      <c r="J343">
        <v>82.83</v>
      </c>
      <c r="K343" t="s">
        <v>65</v>
      </c>
      <c r="L343" t="s">
        <v>80</v>
      </c>
      <c r="M343" t="s">
        <v>35</v>
      </c>
      <c r="N343">
        <v>78.89</v>
      </c>
      <c r="O343">
        <v>4.7618999999999998</v>
      </c>
      <c r="P343">
        <v>3.94</v>
      </c>
      <c r="Q343">
        <v>8.1</v>
      </c>
      <c r="R343" s="8">
        <f t="shared" si="5"/>
        <v>43542</v>
      </c>
    </row>
    <row r="344" spans="1:18" x14ac:dyDescent="0.35">
      <c r="A344" t="s">
        <v>585</v>
      </c>
      <c r="B344" t="s">
        <v>68</v>
      </c>
      <c r="C344" t="s">
        <v>69</v>
      </c>
      <c r="D344" t="s">
        <v>27</v>
      </c>
      <c r="E344" t="s">
        <v>42</v>
      </c>
      <c r="F344" t="s">
        <v>61</v>
      </c>
      <c r="G344">
        <v>91.62</v>
      </c>
      <c r="H344">
        <v>7</v>
      </c>
      <c r="I344">
        <v>32.07</v>
      </c>
      <c r="J344">
        <v>673.41</v>
      </c>
      <c r="K344" t="s">
        <v>142</v>
      </c>
      <c r="L344" t="s">
        <v>207</v>
      </c>
      <c r="M344" t="s">
        <v>25</v>
      </c>
      <c r="N344">
        <v>641.34</v>
      </c>
      <c r="O344">
        <v>4.7618999999999998</v>
      </c>
      <c r="P344">
        <v>32.07</v>
      </c>
      <c r="Q344">
        <v>10</v>
      </c>
      <c r="R344" s="8">
        <f t="shared" si="5"/>
        <v>43515</v>
      </c>
    </row>
    <row r="345" spans="1:18" x14ac:dyDescent="0.35">
      <c r="A345" t="s">
        <v>586</v>
      </c>
      <c r="B345" t="s">
        <v>68</v>
      </c>
      <c r="C345" t="s">
        <v>69</v>
      </c>
      <c r="D345" t="s">
        <v>27</v>
      </c>
      <c r="E345" t="s">
        <v>21</v>
      </c>
      <c r="F345" t="s">
        <v>22</v>
      </c>
      <c r="G345">
        <v>58.12</v>
      </c>
      <c r="H345">
        <v>8</v>
      </c>
      <c r="I345">
        <v>23.25</v>
      </c>
      <c r="J345">
        <v>488.21</v>
      </c>
      <c r="K345" t="s">
        <v>109</v>
      </c>
      <c r="L345" t="s">
        <v>391</v>
      </c>
      <c r="M345" t="s">
        <v>35</v>
      </c>
      <c r="N345">
        <v>464.96</v>
      </c>
      <c r="O345">
        <v>4.7618999999999998</v>
      </c>
      <c r="P345">
        <v>23.25</v>
      </c>
      <c r="Q345">
        <v>9.1</v>
      </c>
      <c r="R345" s="8">
        <f t="shared" si="5"/>
        <v>43551</v>
      </c>
    </row>
    <row r="346" spans="1:18" x14ac:dyDescent="0.35">
      <c r="A346" t="s">
        <v>587</v>
      </c>
      <c r="B346" t="s">
        <v>18</v>
      </c>
      <c r="C346" t="s">
        <v>19</v>
      </c>
      <c r="D346" t="s">
        <v>20</v>
      </c>
      <c r="E346" t="s">
        <v>42</v>
      </c>
      <c r="F346" t="s">
        <v>28</v>
      </c>
      <c r="G346">
        <v>52.37</v>
      </c>
      <c r="H346">
        <v>5</v>
      </c>
      <c r="I346">
        <v>13.09</v>
      </c>
      <c r="J346">
        <v>274.94</v>
      </c>
      <c r="K346" t="s">
        <v>121</v>
      </c>
      <c r="L346" t="s">
        <v>534</v>
      </c>
      <c r="M346" t="s">
        <v>35</v>
      </c>
      <c r="N346">
        <v>261.85000000000002</v>
      </c>
      <c r="O346">
        <v>4.7618999999999998</v>
      </c>
      <c r="P346">
        <v>13.09</v>
      </c>
      <c r="Q346">
        <v>7.9</v>
      </c>
      <c r="R346" s="8">
        <f t="shared" si="5"/>
        <v>43537</v>
      </c>
    </row>
    <row r="347" spans="1:18" x14ac:dyDescent="0.35">
      <c r="A347" t="s">
        <v>588</v>
      </c>
      <c r="B347" t="s">
        <v>37</v>
      </c>
      <c r="C347" t="s">
        <v>38</v>
      </c>
      <c r="D347" t="s">
        <v>20</v>
      </c>
      <c r="E347" t="s">
        <v>42</v>
      </c>
      <c r="F347" t="s">
        <v>32</v>
      </c>
      <c r="G347">
        <v>80.930000000000007</v>
      </c>
      <c r="H347">
        <v>6</v>
      </c>
      <c r="I347">
        <v>24.28</v>
      </c>
      <c r="J347">
        <v>509.86</v>
      </c>
      <c r="K347" t="s">
        <v>320</v>
      </c>
      <c r="L347" t="s">
        <v>497</v>
      </c>
      <c r="M347" t="s">
        <v>35</v>
      </c>
      <c r="N347">
        <v>485.58</v>
      </c>
      <c r="O347">
        <v>4.7618999999999998</v>
      </c>
      <c r="P347">
        <v>24.28</v>
      </c>
      <c r="Q347">
        <v>6.8</v>
      </c>
      <c r="R347" s="8">
        <f t="shared" si="5"/>
        <v>43513</v>
      </c>
    </row>
    <row r="348" spans="1:18" x14ac:dyDescent="0.35">
      <c r="A348" t="s">
        <v>589</v>
      </c>
      <c r="B348" t="s">
        <v>37</v>
      </c>
      <c r="C348" t="s">
        <v>38</v>
      </c>
      <c r="D348" t="s">
        <v>20</v>
      </c>
      <c r="E348" t="s">
        <v>21</v>
      </c>
      <c r="F348" t="s">
        <v>32</v>
      </c>
      <c r="G348">
        <v>90.05</v>
      </c>
      <c r="H348">
        <v>9</v>
      </c>
      <c r="I348">
        <v>40.520000000000003</v>
      </c>
      <c r="J348">
        <v>850.97</v>
      </c>
      <c r="K348" t="s">
        <v>187</v>
      </c>
      <c r="L348" t="s">
        <v>119</v>
      </c>
      <c r="M348" t="s">
        <v>25</v>
      </c>
      <c r="N348">
        <v>810.45</v>
      </c>
      <c r="O348">
        <v>4.7618999999999998</v>
      </c>
      <c r="P348">
        <v>40.520000000000003</v>
      </c>
      <c r="Q348">
        <v>5.8</v>
      </c>
      <c r="R348" s="8">
        <f t="shared" si="5"/>
        <v>43481</v>
      </c>
    </row>
    <row r="349" spans="1:18" x14ac:dyDescent="0.35">
      <c r="A349" t="s">
        <v>590</v>
      </c>
      <c r="B349" t="s">
        <v>68</v>
      </c>
      <c r="C349" t="s">
        <v>69</v>
      </c>
      <c r="D349" t="s">
        <v>20</v>
      </c>
      <c r="E349" t="s">
        <v>21</v>
      </c>
      <c r="F349" t="s">
        <v>61</v>
      </c>
      <c r="G349">
        <v>46.83</v>
      </c>
      <c r="H349">
        <v>10</v>
      </c>
      <c r="I349">
        <v>23.42</v>
      </c>
      <c r="J349">
        <v>491.72</v>
      </c>
      <c r="K349" t="s">
        <v>202</v>
      </c>
      <c r="L349" t="s">
        <v>591</v>
      </c>
      <c r="M349" t="s">
        <v>25</v>
      </c>
      <c r="N349">
        <v>468.3</v>
      </c>
      <c r="O349">
        <v>4.7618999999999998</v>
      </c>
      <c r="P349">
        <v>23.42</v>
      </c>
      <c r="Q349">
        <v>5.0999999999999996</v>
      </c>
      <c r="R349" s="8">
        <f t="shared" si="5"/>
        <v>43524</v>
      </c>
    </row>
    <row r="350" spans="1:18" x14ac:dyDescent="0.35">
      <c r="A350" t="s">
        <v>592</v>
      </c>
      <c r="B350" t="s">
        <v>37</v>
      </c>
      <c r="C350" t="s">
        <v>38</v>
      </c>
      <c r="D350" t="s">
        <v>27</v>
      </c>
      <c r="E350" t="s">
        <v>21</v>
      </c>
      <c r="F350" t="s">
        <v>61</v>
      </c>
      <c r="G350">
        <v>67.099999999999994</v>
      </c>
      <c r="H350">
        <v>1</v>
      </c>
      <c r="I350">
        <v>3.35</v>
      </c>
      <c r="J350">
        <v>70.45</v>
      </c>
      <c r="K350" t="s">
        <v>322</v>
      </c>
      <c r="L350" t="s">
        <v>150</v>
      </c>
      <c r="M350" t="s">
        <v>45</v>
      </c>
      <c r="N350">
        <v>67.099999999999994</v>
      </c>
      <c r="O350">
        <v>4.7618999999999998</v>
      </c>
      <c r="P350">
        <v>3.35</v>
      </c>
      <c r="Q350">
        <v>7.5</v>
      </c>
      <c r="R350" s="8">
        <f t="shared" si="5"/>
        <v>43523</v>
      </c>
    </row>
    <row r="351" spans="1:18" x14ac:dyDescent="0.35">
      <c r="A351" t="s">
        <v>593</v>
      </c>
      <c r="B351" t="s">
        <v>37</v>
      </c>
      <c r="C351" t="s">
        <v>38</v>
      </c>
      <c r="D351" t="s">
        <v>20</v>
      </c>
      <c r="E351" t="s">
        <v>21</v>
      </c>
      <c r="F351" t="s">
        <v>50</v>
      </c>
      <c r="G351">
        <v>49.03</v>
      </c>
      <c r="H351">
        <v>7</v>
      </c>
      <c r="I351">
        <v>17.16</v>
      </c>
      <c r="J351">
        <v>360.37</v>
      </c>
      <c r="K351" t="s">
        <v>55</v>
      </c>
      <c r="L351" t="s">
        <v>156</v>
      </c>
      <c r="M351" t="s">
        <v>35</v>
      </c>
      <c r="N351">
        <v>343.21</v>
      </c>
      <c r="O351">
        <v>4.7618999999999998</v>
      </c>
      <c r="P351">
        <v>17.16</v>
      </c>
      <c r="Q351">
        <v>4</v>
      </c>
      <c r="R351" s="8">
        <f t="shared" si="5"/>
        <v>43517</v>
      </c>
    </row>
    <row r="352" spans="1:18" x14ac:dyDescent="0.35">
      <c r="A352" t="s">
        <v>594</v>
      </c>
      <c r="B352" t="s">
        <v>68</v>
      </c>
      <c r="C352" t="s">
        <v>69</v>
      </c>
      <c r="D352" t="s">
        <v>27</v>
      </c>
      <c r="E352" t="s">
        <v>21</v>
      </c>
      <c r="F352" t="s">
        <v>61</v>
      </c>
      <c r="G352">
        <v>78.12</v>
      </c>
      <c r="H352">
        <v>9</v>
      </c>
      <c r="I352">
        <v>35.15</v>
      </c>
      <c r="J352">
        <v>738.23</v>
      </c>
      <c r="K352" t="s">
        <v>87</v>
      </c>
      <c r="L352" t="s">
        <v>236</v>
      </c>
      <c r="M352" t="s">
        <v>45</v>
      </c>
      <c r="N352">
        <v>703.08</v>
      </c>
      <c r="O352">
        <v>4.7618999999999998</v>
      </c>
      <c r="P352">
        <v>35.15</v>
      </c>
      <c r="Q352">
        <v>7.8</v>
      </c>
      <c r="R352" s="8">
        <f t="shared" si="5"/>
        <v>43490</v>
      </c>
    </row>
    <row r="353" spans="1:18" x14ac:dyDescent="0.35">
      <c r="A353" t="s">
        <v>595</v>
      </c>
      <c r="B353" t="s">
        <v>68</v>
      </c>
      <c r="C353" t="s">
        <v>69</v>
      </c>
      <c r="D353" t="s">
        <v>27</v>
      </c>
      <c r="E353" t="s">
        <v>42</v>
      </c>
      <c r="F353" t="s">
        <v>54</v>
      </c>
      <c r="G353">
        <v>19.239999999999998</v>
      </c>
      <c r="H353">
        <v>9</v>
      </c>
      <c r="I353">
        <v>8.66</v>
      </c>
      <c r="J353">
        <v>181.82</v>
      </c>
      <c r="K353" t="s">
        <v>82</v>
      </c>
      <c r="L353" t="s">
        <v>59</v>
      </c>
      <c r="M353" t="s">
        <v>45</v>
      </c>
      <c r="N353">
        <v>173.16</v>
      </c>
      <c r="O353">
        <v>4.7618999999999998</v>
      </c>
      <c r="P353">
        <v>8.66</v>
      </c>
      <c r="Q353">
        <v>8.9</v>
      </c>
      <c r="R353" s="8">
        <f t="shared" si="5"/>
        <v>43541</v>
      </c>
    </row>
    <row r="354" spans="1:18" x14ac:dyDescent="0.35">
      <c r="A354" t="s">
        <v>596</v>
      </c>
      <c r="B354" t="s">
        <v>37</v>
      </c>
      <c r="C354" t="s">
        <v>38</v>
      </c>
      <c r="D354" t="s">
        <v>27</v>
      </c>
      <c r="E354" t="s">
        <v>42</v>
      </c>
      <c r="F354" t="s">
        <v>32</v>
      </c>
      <c r="G354">
        <v>89.92</v>
      </c>
      <c r="H354">
        <v>3</v>
      </c>
      <c r="I354">
        <v>13.49</v>
      </c>
      <c r="J354">
        <v>283.25</v>
      </c>
      <c r="K354" t="s">
        <v>240</v>
      </c>
      <c r="L354" t="s">
        <v>134</v>
      </c>
      <c r="M354" t="s">
        <v>45</v>
      </c>
      <c r="N354">
        <v>269.76</v>
      </c>
      <c r="O354">
        <v>4.7618999999999998</v>
      </c>
      <c r="P354">
        <v>13.49</v>
      </c>
      <c r="Q354">
        <v>5</v>
      </c>
      <c r="R354" s="8">
        <f t="shared" si="5"/>
        <v>43509</v>
      </c>
    </row>
    <row r="355" spans="1:18" x14ac:dyDescent="0.35">
      <c r="A355" t="s">
        <v>597</v>
      </c>
      <c r="B355" t="s">
        <v>37</v>
      </c>
      <c r="C355" t="s">
        <v>38</v>
      </c>
      <c r="D355" t="s">
        <v>20</v>
      </c>
      <c r="E355" t="s">
        <v>21</v>
      </c>
      <c r="F355" t="s">
        <v>54</v>
      </c>
      <c r="G355">
        <v>75.45</v>
      </c>
      <c r="H355">
        <v>3</v>
      </c>
      <c r="I355">
        <v>11.32</v>
      </c>
      <c r="J355">
        <v>237.67</v>
      </c>
      <c r="K355" t="s">
        <v>330</v>
      </c>
      <c r="L355" t="s">
        <v>207</v>
      </c>
      <c r="M355" t="s">
        <v>25</v>
      </c>
      <c r="N355">
        <v>226.35</v>
      </c>
      <c r="O355">
        <v>4.7618999999999998</v>
      </c>
      <c r="P355">
        <v>11.32</v>
      </c>
      <c r="Q355">
        <v>5</v>
      </c>
      <c r="R355" s="8">
        <f t="shared" si="5"/>
        <v>43493</v>
      </c>
    </row>
    <row r="356" spans="1:18" x14ac:dyDescent="0.35">
      <c r="A356" t="s">
        <v>598</v>
      </c>
      <c r="B356" t="s">
        <v>18</v>
      </c>
      <c r="C356" t="s">
        <v>19</v>
      </c>
      <c r="D356" t="s">
        <v>20</v>
      </c>
      <c r="E356" t="s">
        <v>42</v>
      </c>
      <c r="F356" t="s">
        <v>22</v>
      </c>
      <c r="G356">
        <v>33.020000000000003</v>
      </c>
      <c r="H356">
        <v>9</v>
      </c>
      <c r="I356">
        <v>14.86</v>
      </c>
      <c r="J356">
        <v>312.04000000000002</v>
      </c>
      <c r="K356" t="s">
        <v>145</v>
      </c>
      <c r="L356" t="s">
        <v>207</v>
      </c>
      <c r="M356" t="s">
        <v>45</v>
      </c>
      <c r="N356">
        <v>297.18</v>
      </c>
      <c r="O356">
        <v>4.7618999999999998</v>
      </c>
      <c r="P356">
        <v>14.86</v>
      </c>
      <c r="Q356">
        <v>8</v>
      </c>
      <c r="R356" s="8">
        <f t="shared" si="5"/>
        <v>43545</v>
      </c>
    </row>
    <row r="357" spans="1:18" x14ac:dyDescent="0.35">
      <c r="A357" t="s">
        <v>599</v>
      </c>
      <c r="B357" t="s">
        <v>68</v>
      </c>
      <c r="C357" t="s">
        <v>69</v>
      </c>
      <c r="D357" t="s">
        <v>20</v>
      </c>
      <c r="E357" t="s">
        <v>21</v>
      </c>
      <c r="F357" t="s">
        <v>32</v>
      </c>
      <c r="G357">
        <v>49.99</v>
      </c>
      <c r="H357">
        <v>2</v>
      </c>
      <c r="I357">
        <v>5</v>
      </c>
      <c r="J357">
        <v>104.98</v>
      </c>
      <c r="K357" t="s">
        <v>116</v>
      </c>
      <c r="L357" t="s">
        <v>94</v>
      </c>
      <c r="M357" t="s">
        <v>25</v>
      </c>
      <c r="N357">
        <v>99.98</v>
      </c>
      <c r="O357">
        <v>4.7618999999999998</v>
      </c>
      <c r="P357">
        <v>5</v>
      </c>
      <c r="Q357">
        <v>4.9000000000000004</v>
      </c>
      <c r="R357" s="8">
        <f t="shared" si="5"/>
        <v>43536</v>
      </c>
    </row>
    <row r="358" spans="1:18" x14ac:dyDescent="0.35">
      <c r="A358" t="s">
        <v>600</v>
      </c>
      <c r="B358" t="s">
        <v>18</v>
      </c>
      <c r="C358" t="s">
        <v>19</v>
      </c>
      <c r="D358" t="s">
        <v>20</v>
      </c>
      <c r="E358" t="s">
        <v>42</v>
      </c>
      <c r="F358" t="s">
        <v>32</v>
      </c>
      <c r="G358">
        <v>69.55</v>
      </c>
      <c r="H358">
        <v>9</v>
      </c>
      <c r="I358">
        <v>31.3</v>
      </c>
      <c r="J358">
        <v>657.25</v>
      </c>
      <c r="K358" t="s">
        <v>218</v>
      </c>
      <c r="L358" t="s">
        <v>184</v>
      </c>
      <c r="M358" t="s">
        <v>25</v>
      </c>
      <c r="N358">
        <v>625.95000000000005</v>
      </c>
      <c r="O358">
        <v>4.7618999999999998</v>
      </c>
      <c r="P358">
        <v>31.3</v>
      </c>
      <c r="Q358">
        <v>4.8</v>
      </c>
      <c r="R358" s="8">
        <f t="shared" si="5"/>
        <v>43500</v>
      </c>
    </row>
    <row r="359" spans="1:18" x14ac:dyDescent="0.35">
      <c r="A359" t="s">
        <v>601</v>
      </c>
      <c r="B359" t="s">
        <v>68</v>
      </c>
      <c r="C359" t="s">
        <v>69</v>
      </c>
      <c r="D359" t="s">
        <v>20</v>
      </c>
      <c r="E359" t="s">
        <v>42</v>
      </c>
      <c r="F359" t="s">
        <v>28</v>
      </c>
      <c r="G359">
        <v>80.63</v>
      </c>
      <c r="H359">
        <v>8</v>
      </c>
      <c r="I359">
        <v>32.25</v>
      </c>
      <c r="J359">
        <v>677.29</v>
      </c>
      <c r="K359" t="s">
        <v>133</v>
      </c>
      <c r="L359" t="s">
        <v>143</v>
      </c>
      <c r="M359" t="s">
        <v>35</v>
      </c>
      <c r="N359">
        <v>645.04</v>
      </c>
      <c r="O359">
        <v>4.7618999999999998</v>
      </c>
      <c r="P359">
        <v>32.25</v>
      </c>
      <c r="Q359">
        <v>9</v>
      </c>
      <c r="R359" s="8">
        <f t="shared" si="5"/>
        <v>43491</v>
      </c>
    </row>
    <row r="360" spans="1:18" x14ac:dyDescent="0.35">
      <c r="A360" t="s">
        <v>602</v>
      </c>
      <c r="B360" t="s">
        <v>37</v>
      </c>
      <c r="C360" t="s">
        <v>38</v>
      </c>
      <c r="D360" t="s">
        <v>27</v>
      </c>
      <c r="E360" t="s">
        <v>42</v>
      </c>
      <c r="F360" t="s">
        <v>54</v>
      </c>
      <c r="G360">
        <v>13.55</v>
      </c>
      <c r="H360">
        <v>8</v>
      </c>
      <c r="I360">
        <v>5.42</v>
      </c>
      <c r="J360">
        <v>113.82</v>
      </c>
      <c r="K360" t="s">
        <v>479</v>
      </c>
      <c r="L360" t="s">
        <v>134</v>
      </c>
      <c r="M360" t="s">
        <v>45</v>
      </c>
      <c r="N360">
        <v>108.4</v>
      </c>
      <c r="O360">
        <v>4.7618999999999998</v>
      </c>
      <c r="P360">
        <v>5.42</v>
      </c>
      <c r="Q360">
        <v>4</v>
      </c>
      <c r="R360" s="8">
        <f t="shared" si="5"/>
        <v>43492</v>
      </c>
    </row>
    <row r="361" spans="1:18" x14ac:dyDescent="0.35">
      <c r="A361" t="s">
        <v>603</v>
      </c>
      <c r="B361" t="s">
        <v>68</v>
      </c>
      <c r="C361" t="s">
        <v>69</v>
      </c>
      <c r="D361" t="s">
        <v>20</v>
      </c>
      <c r="E361" t="s">
        <v>42</v>
      </c>
      <c r="F361" t="s">
        <v>54</v>
      </c>
      <c r="G361">
        <v>95.45</v>
      </c>
      <c r="H361">
        <v>9</v>
      </c>
      <c r="I361">
        <v>42.95</v>
      </c>
      <c r="J361">
        <v>902</v>
      </c>
      <c r="K361" t="s">
        <v>85</v>
      </c>
      <c r="L361" t="s">
        <v>137</v>
      </c>
      <c r="M361" t="s">
        <v>25</v>
      </c>
      <c r="N361">
        <v>859.05</v>
      </c>
      <c r="O361">
        <v>4.7618999999999998</v>
      </c>
      <c r="P361">
        <v>42.95</v>
      </c>
      <c r="Q361">
        <v>5.4</v>
      </c>
      <c r="R361" s="8">
        <f t="shared" si="5"/>
        <v>43475</v>
      </c>
    </row>
    <row r="362" spans="1:18" x14ac:dyDescent="0.35">
      <c r="A362" t="s">
        <v>604</v>
      </c>
      <c r="B362" t="s">
        <v>37</v>
      </c>
      <c r="C362" t="s">
        <v>38</v>
      </c>
      <c r="D362" t="s">
        <v>27</v>
      </c>
      <c r="E362" t="s">
        <v>21</v>
      </c>
      <c r="F362" t="s">
        <v>28</v>
      </c>
      <c r="G362">
        <v>83.19</v>
      </c>
      <c r="H362">
        <v>1</v>
      </c>
      <c r="I362">
        <v>4.16</v>
      </c>
      <c r="J362">
        <v>87.35</v>
      </c>
      <c r="K362" t="s">
        <v>269</v>
      </c>
      <c r="L362" t="s">
        <v>146</v>
      </c>
      <c r="M362" t="s">
        <v>35</v>
      </c>
      <c r="N362">
        <v>83.19</v>
      </c>
      <c r="O362">
        <v>4.7618999999999998</v>
      </c>
      <c r="P362">
        <v>4.16</v>
      </c>
      <c r="Q362">
        <v>6.6</v>
      </c>
      <c r="R362" s="8">
        <f t="shared" si="5"/>
        <v>43503</v>
      </c>
    </row>
    <row r="363" spans="1:18" x14ac:dyDescent="0.35">
      <c r="A363" t="s">
        <v>605</v>
      </c>
      <c r="B363" t="s">
        <v>68</v>
      </c>
      <c r="C363" t="s">
        <v>69</v>
      </c>
      <c r="D363" t="s">
        <v>20</v>
      </c>
      <c r="E363" t="s">
        <v>21</v>
      </c>
      <c r="F363" t="s">
        <v>54</v>
      </c>
      <c r="G363">
        <v>69.7</v>
      </c>
      <c r="H363">
        <v>3</v>
      </c>
      <c r="I363">
        <v>10.46</v>
      </c>
      <c r="J363">
        <v>219.56</v>
      </c>
      <c r="K363" t="s">
        <v>229</v>
      </c>
      <c r="L363" t="s">
        <v>160</v>
      </c>
      <c r="M363" t="s">
        <v>25</v>
      </c>
      <c r="N363">
        <v>209.1</v>
      </c>
      <c r="O363">
        <v>4.7618999999999998</v>
      </c>
      <c r="P363">
        <v>10.46</v>
      </c>
      <c r="Q363">
        <v>5.6</v>
      </c>
      <c r="R363" s="8">
        <f t="shared" si="5"/>
        <v>43508</v>
      </c>
    </row>
    <row r="364" spans="1:18" x14ac:dyDescent="0.35">
      <c r="A364" t="s">
        <v>606</v>
      </c>
      <c r="B364" t="s">
        <v>68</v>
      </c>
      <c r="C364" t="s">
        <v>69</v>
      </c>
      <c r="D364" t="s">
        <v>27</v>
      </c>
      <c r="E364" t="s">
        <v>42</v>
      </c>
      <c r="F364" t="s">
        <v>54</v>
      </c>
      <c r="G364">
        <v>20.239999999999998</v>
      </c>
      <c r="H364">
        <v>7</v>
      </c>
      <c r="I364">
        <v>7.08</v>
      </c>
      <c r="J364">
        <v>148.76</v>
      </c>
      <c r="K364" t="s">
        <v>202</v>
      </c>
      <c r="L364" t="s">
        <v>368</v>
      </c>
      <c r="M364" t="s">
        <v>25</v>
      </c>
      <c r="N364">
        <v>141.68</v>
      </c>
      <c r="O364">
        <v>4.7618999999999998</v>
      </c>
      <c r="P364">
        <v>7.08</v>
      </c>
      <c r="Q364">
        <v>9.1</v>
      </c>
      <c r="R364" s="8">
        <f t="shared" si="5"/>
        <v>43524</v>
      </c>
    </row>
    <row r="365" spans="1:18" x14ac:dyDescent="0.35">
      <c r="A365" t="s">
        <v>607</v>
      </c>
      <c r="B365" t="s">
        <v>37</v>
      </c>
      <c r="C365" t="s">
        <v>38</v>
      </c>
      <c r="D365" t="s">
        <v>20</v>
      </c>
      <c r="E365" t="s">
        <v>21</v>
      </c>
      <c r="F365" t="s">
        <v>54</v>
      </c>
      <c r="G365">
        <v>72.66</v>
      </c>
      <c r="H365">
        <v>1</v>
      </c>
      <c r="I365">
        <v>3.63</v>
      </c>
      <c r="J365">
        <v>76.290000000000006</v>
      </c>
      <c r="K365" t="s">
        <v>33</v>
      </c>
      <c r="L365" t="s">
        <v>210</v>
      </c>
      <c r="M365" t="s">
        <v>25</v>
      </c>
      <c r="N365">
        <v>72.66</v>
      </c>
      <c r="O365">
        <v>4.7618999999999998</v>
      </c>
      <c r="P365">
        <v>3.63</v>
      </c>
      <c r="Q365">
        <v>6.9</v>
      </c>
      <c r="R365" s="8">
        <f t="shared" si="5"/>
        <v>43486</v>
      </c>
    </row>
    <row r="366" spans="1:18" x14ac:dyDescent="0.35">
      <c r="A366" t="s">
        <v>608</v>
      </c>
      <c r="B366" t="s">
        <v>18</v>
      </c>
      <c r="C366" t="s">
        <v>19</v>
      </c>
      <c r="D366" t="s">
        <v>27</v>
      </c>
      <c r="E366" t="s">
        <v>21</v>
      </c>
      <c r="F366" t="s">
        <v>50</v>
      </c>
      <c r="G366">
        <v>44.18</v>
      </c>
      <c r="H366">
        <v>6</v>
      </c>
      <c r="I366">
        <v>13.25</v>
      </c>
      <c r="J366">
        <v>278.33</v>
      </c>
      <c r="K366" t="s">
        <v>191</v>
      </c>
      <c r="L366" t="s">
        <v>236</v>
      </c>
      <c r="M366" t="s">
        <v>25</v>
      </c>
      <c r="N366">
        <v>265.08</v>
      </c>
      <c r="O366">
        <v>4.7618999999999998</v>
      </c>
      <c r="P366">
        <v>13.25</v>
      </c>
      <c r="Q366">
        <v>9.8000000000000007</v>
      </c>
      <c r="R366" s="8">
        <f t="shared" si="5"/>
        <v>43544</v>
      </c>
    </row>
    <row r="367" spans="1:18" x14ac:dyDescent="0.35">
      <c r="A367" t="s">
        <v>609</v>
      </c>
      <c r="B367" t="s">
        <v>37</v>
      </c>
      <c r="C367" t="s">
        <v>38</v>
      </c>
      <c r="D367" t="s">
        <v>27</v>
      </c>
      <c r="E367" t="s">
        <v>21</v>
      </c>
      <c r="F367" t="s">
        <v>32</v>
      </c>
      <c r="G367">
        <v>49.66</v>
      </c>
      <c r="H367">
        <v>2</v>
      </c>
      <c r="I367">
        <v>4.97</v>
      </c>
      <c r="J367">
        <v>104.29</v>
      </c>
      <c r="K367" t="s">
        <v>99</v>
      </c>
      <c r="L367" t="s">
        <v>282</v>
      </c>
      <c r="M367" t="s">
        <v>45</v>
      </c>
      <c r="N367">
        <v>99.32</v>
      </c>
      <c r="O367">
        <v>4.7618999999999998</v>
      </c>
      <c r="P367">
        <v>4.97</v>
      </c>
      <c r="Q367">
        <v>8.1999999999999993</v>
      </c>
      <c r="R367" s="8">
        <f t="shared" si="5"/>
        <v>43499</v>
      </c>
    </row>
    <row r="368" spans="1:18" x14ac:dyDescent="0.35">
      <c r="A368" t="s">
        <v>610</v>
      </c>
      <c r="B368" t="s">
        <v>18</v>
      </c>
      <c r="C368" t="s">
        <v>19</v>
      </c>
      <c r="D368" t="s">
        <v>20</v>
      </c>
      <c r="E368" t="s">
        <v>42</v>
      </c>
      <c r="F368" t="s">
        <v>50</v>
      </c>
      <c r="G368">
        <v>57.08</v>
      </c>
      <c r="H368">
        <v>10</v>
      </c>
      <c r="I368">
        <v>28.54</v>
      </c>
      <c r="J368">
        <v>599.34</v>
      </c>
      <c r="K368" t="s">
        <v>405</v>
      </c>
      <c r="L368" t="s">
        <v>80</v>
      </c>
      <c r="M368" t="s">
        <v>25</v>
      </c>
      <c r="N368">
        <v>570.79999999999995</v>
      </c>
      <c r="O368">
        <v>4.7618999999999998</v>
      </c>
      <c r="P368">
        <v>28.54</v>
      </c>
      <c r="Q368">
        <v>5.5</v>
      </c>
      <c r="R368" s="8">
        <f t="shared" si="5"/>
        <v>43478</v>
      </c>
    </row>
    <row r="369" spans="1:18" x14ac:dyDescent="0.35">
      <c r="A369" t="s">
        <v>611</v>
      </c>
      <c r="B369" t="s">
        <v>18</v>
      </c>
      <c r="C369" t="s">
        <v>19</v>
      </c>
      <c r="D369" t="s">
        <v>27</v>
      </c>
      <c r="E369" t="s">
        <v>21</v>
      </c>
      <c r="F369" t="s">
        <v>50</v>
      </c>
      <c r="G369">
        <v>90.29</v>
      </c>
      <c r="H369">
        <v>10</v>
      </c>
      <c r="I369">
        <v>45.15</v>
      </c>
      <c r="J369">
        <v>948.05</v>
      </c>
      <c r="K369" t="s">
        <v>387</v>
      </c>
      <c r="L369" t="s">
        <v>236</v>
      </c>
      <c r="M369" t="s">
        <v>45</v>
      </c>
      <c r="N369">
        <v>902.9</v>
      </c>
      <c r="O369">
        <v>4.7618999999999998</v>
      </c>
      <c r="P369">
        <v>45.15</v>
      </c>
      <c r="Q369">
        <v>7</v>
      </c>
      <c r="R369" s="8">
        <f t="shared" si="5"/>
        <v>43472</v>
      </c>
    </row>
    <row r="370" spans="1:18" x14ac:dyDescent="0.35">
      <c r="A370" t="s">
        <v>612</v>
      </c>
      <c r="B370" t="s">
        <v>37</v>
      </c>
      <c r="C370" t="s">
        <v>38</v>
      </c>
      <c r="D370" t="s">
        <v>20</v>
      </c>
      <c r="E370" t="s">
        <v>21</v>
      </c>
      <c r="F370" t="s">
        <v>32</v>
      </c>
      <c r="G370">
        <v>38.86</v>
      </c>
      <c r="H370">
        <v>6</v>
      </c>
      <c r="I370">
        <v>11.66</v>
      </c>
      <c r="J370">
        <v>244.82</v>
      </c>
      <c r="K370" t="s">
        <v>136</v>
      </c>
      <c r="L370" t="s">
        <v>158</v>
      </c>
      <c r="M370" t="s">
        <v>45</v>
      </c>
      <c r="N370">
        <v>233.16</v>
      </c>
      <c r="O370">
        <v>4.7618999999999998</v>
      </c>
      <c r="P370">
        <v>11.66</v>
      </c>
      <c r="Q370">
        <v>7.3</v>
      </c>
      <c r="R370" s="8">
        <f t="shared" si="5"/>
        <v>43501</v>
      </c>
    </row>
    <row r="371" spans="1:18" x14ac:dyDescent="0.35">
      <c r="A371" t="s">
        <v>613</v>
      </c>
      <c r="B371" t="s">
        <v>37</v>
      </c>
      <c r="C371" t="s">
        <v>38</v>
      </c>
      <c r="D371" t="s">
        <v>20</v>
      </c>
      <c r="E371" t="s">
        <v>21</v>
      </c>
      <c r="F371" t="s">
        <v>32</v>
      </c>
      <c r="G371">
        <v>49.98</v>
      </c>
      <c r="H371">
        <v>10</v>
      </c>
      <c r="I371">
        <v>24.99</v>
      </c>
      <c r="J371">
        <v>524.79</v>
      </c>
      <c r="K371" t="s">
        <v>322</v>
      </c>
      <c r="L371" t="s">
        <v>180</v>
      </c>
      <c r="M371" t="s">
        <v>35</v>
      </c>
      <c r="N371">
        <v>499.8</v>
      </c>
      <c r="O371">
        <v>4.7618999999999998</v>
      </c>
      <c r="P371">
        <v>24.99</v>
      </c>
      <c r="Q371">
        <v>5.9</v>
      </c>
      <c r="R371" s="8">
        <f t="shared" si="5"/>
        <v>43523</v>
      </c>
    </row>
    <row r="372" spans="1:18" x14ac:dyDescent="0.35">
      <c r="A372" t="s">
        <v>614</v>
      </c>
      <c r="B372" t="s">
        <v>18</v>
      </c>
      <c r="C372" t="s">
        <v>19</v>
      </c>
      <c r="D372" t="s">
        <v>20</v>
      </c>
      <c r="E372" t="s">
        <v>21</v>
      </c>
      <c r="F372" t="s">
        <v>32</v>
      </c>
      <c r="G372">
        <v>47.11</v>
      </c>
      <c r="H372">
        <v>9</v>
      </c>
      <c r="I372">
        <v>21.2</v>
      </c>
      <c r="J372">
        <v>445.19</v>
      </c>
      <c r="K372" t="s">
        <v>116</v>
      </c>
      <c r="L372" t="s">
        <v>122</v>
      </c>
      <c r="M372" t="s">
        <v>25</v>
      </c>
      <c r="N372">
        <v>423.99</v>
      </c>
      <c r="O372">
        <v>4.7618999999999998</v>
      </c>
      <c r="P372">
        <v>21.2</v>
      </c>
      <c r="Q372">
        <v>9.8000000000000007</v>
      </c>
      <c r="R372" s="8">
        <f t="shared" si="5"/>
        <v>43536</v>
      </c>
    </row>
    <row r="373" spans="1:18" x14ac:dyDescent="0.35">
      <c r="A373" t="s">
        <v>615</v>
      </c>
      <c r="B373" t="s">
        <v>37</v>
      </c>
      <c r="C373" t="s">
        <v>38</v>
      </c>
      <c r="D373" t="s">
        <v>20</v>
      </c>
      <c r="E373" t="s">
        <v>42</v>
      </c>
      <c r="F373" t="s">
        <v>61</v>
      </c>
      <c r="G373">
        <v>42.7</v>
      </c>
      <c r="H373">
        <v>1</v>
      </c>
      <c r="I373">
        <v>2.14</v>
      </c>
      <c r="J373">
        <v>44.84</v>
      </c>
      <c r="K373" t="s">
        <v>616</v>
      </c>
      <c r="L373" t="s">
        <v>134</v>
      </c>
      <c r="M373" t="s">
        <v>25</v>
      </c>
      <c r="N373">
        <v>42.7</v>
      </c>
      <c r="O373">
        <v>4.7618999999999998</v>
      </c>
      <c r="P373">
        <v>2.14</v>
      </c>
      <c r="Q373">
        <v>8.6</v>
      </c>
      <c r="R373" s="8">
        <f t="shared" si="5"/>
        <v>43494</v>
      </c>
    </row>
    <row r="374" spans="1:18" x14ac:dyDescent="0.35">
      <c r="A374" t="s">
        <v>617</v>
      </c>
      <c r="B374" t="s">
        <v>37</v>
      </c>
      <c r="C374" t="s">
        <v>38</v>
      </c>
      <c r="D374" t="s">
        <v>27</v>
      </c>
      <c r="E374" t="s">
        <v>42</v>
      </c>
      <c r="F374" t="s">
        <v>28</v>
      </c>
      <c r="G374">
        <v>18.77</v>
      </c>
      <c r="H374">
        <v>4</v>
      </c>
      <c r="I374">
        <v>3.75</v>
      </c>
      <c r="J374">
        <v>78.83</v>
      </c>
      <c r="K374" t="s">
        <v>422</v>
      </c>
      <c r="L374" t="s">
        <v>485</v>
      </c>
      <c r="M374" t="s">
        <v>25</v>
      </c>
      <c r="N374">
        <v>75.08</v>
      </c>
      <c r="O374">
        <v>4.7618999999999998</v>
      </c>
      <c r="P374">
        <v>3.75</v>
      </c>
      <c r="Q374">
        <v>9.8000000000000007</v>
      </c>
      <c r="R374" s="8">
        <f t="shared" si="5"/>
        <v>43466</v>
      </c>
    </row>
    <row r="375" spans="1:18" x14ac:dyDescent="0.35">
      <c r="A375" t="s">
        <v>618</v>
      </c>
      <c r="B375" t="s">
        <v>18</v>
      </c>
      <c r="C375" t="s">
        <v>19</v>
      </c>
      <c r="D375" t="s">
        <v>27</v>
      </c>
      <c r="E375" t="s">
        <v>21</v>
      </c>
      <c r="F375" t="s">
        <v>28</v>
      </c>
      <c r="G375">
        <v>90.72</v>
      </c>
      <c r="H375">
        <v>8</v>
      </c>
      <c r="I375">
        <v>36.29</v>
      </c>
      <c r="J375">
        <v>762.05</v>
      </c>
      <c r="K375" t="s">
        <v>23</v>
      </c>
      <c r="L375" t="s">
        <v>277</v>
      </c>
      <c r="M375" t="s">
        <v>35</v>
      </c>
      <c r="N375">
        <v>725.76</v>
      </c>
      <c r="O375">
        <v>4.7618999999999998</v>
      </c>
      <c r="P375">
        <v>36.29</v>
      </c>
      <c r="Q375">
        <v>7.7</v>
      </c>
      <c r="R375" s="8">
        <f t="shared" si="5"/>
        <v>43483</v>
      </c>
    </row>
    <row r="376" spans="1:18" x14ac:dyDescent="0.35">
      <c r="A376" t="s">
        <v>619</v>
      </c>
      <c r="B376" t="s">
        <v>68</v>
      </c>
      <c r="C376" t="s">
        <v>69</v>
      </c>
      <c r="D376" t="s">
        <v>27</v>
      </c>
      <c r="E376" t="s">
        <v>21</v>
      </c>
      <c r="F376" t="s">
        <v>32</v>
      </c>
      <c r="G376">
        <v>84.21</v>
      </c>
      <c r="H376">
        <v>4</v>
      </c>
      <c r="I376">
        <v>16.84</v>
      </c>
      <c r="J376">
        <v>353.68</v>
      </c>
      <c r="K376" t="s">
        <v>240</v>
      </c>
      <c r="L376" t="s">
        <v>210</v>
      </c>
      <c r="M376" t="s">
        <v>45</v>
      </c>
      <c r="N376">
        <v>336.84</v>
      </c>
      <c r="O376">
        <v>4.7618999999999998</v>
      </c>
      <c r="P376">
        <v>16.84</v>
      </c>
      <c r="Q376">
        <v>9.6</v>
      </c>
      <c r="R376" s="8">
        <f t="shared" si="5"/>
        <v>43509</v>
      </c>
    </row>
    <row r="377" spans="1:18" x14ac:dyDescent="0.35">
      <c r="A377" t="s">
        <v>620</v>
      </c>
      <c r="B377" t="s">
        <v>18</v>
      </c>
      <c r="C377" t="s">
        <v>19</v>
      </c>
      <c r="D377" t="s">
        <v>20</v>
      </c>
      <c r="E377" t="s">
        <v>42</v>
      </c>
      <c r="F377" t="s">
        <v>32</v>
      </c>
      <c r="G377">
        <v>69.260000000000005</v>
      </c>
      <c r="H377">
        <v>9</v>
      </c>
      <c r="I377">
        <v>31.17</v>
      </c>
      <c r="J377">
        <v>654.51</v>
      </c>
      <c r="K377" t="s">
        <v>23</v>
      </c>
      <c r="L377" t="s">
        <v>334</v>
      </c>
      <c r="M377" t="s">
        <v>25</v>
      </c>
      <c r="N377">
        <v>623.34</v>
      </c>
      <c r="O377">
        <v>4.7618999999999998</v>
      </c>
      <c r="P377">
        <v>31.17</v>
      </c>
      <c r="Q377">
        <v>8.4</v>
      </c>
      <c r="R377" s="8">
        <f t="shared" si="5"/>
        <v>43483</v>
      </c>
    </row>
    <row r="378" spans="1:18" x14ac:dyDescent="0.35">
      <c r="A378" t="s">
        <v>621</v>
      </c>
      <c r="B378" t="s">
        <v>37</v>
      </c>
      <c r="C378" t="s">
        <v>38</v>
      </c>
      <c r="D378" t="s">
        <v>27</v>
      </c>
      <c r="E378" t="s">
        <v>21</v>
      </c>
      <c r="F378" t="s">
        <v>22</v>
      </c>
      <c r="G378">
        <v>62.07</v>
      </c>
      <c r="H378">
        <v>3</v>
      </c>
      <c r="I378">
        <v>9.31</v>
      </c>
      <c r="J378">
        <v>195.52</v>
      </c>
      <c r="K378" t="s">
        <v>189</v>
      </c>
      <c r="L378" t="s">
        <v>80</v>
      </c>
      <c r="M378" t="s">
        <v>25</v>
      </c>
      <c r="N378">
        <v>186.21</v>
      </c>
      <c r="O378">
        <v>4.7618999999999998</v>
      </c>
      <c r="P378">
        <v>9.31</v>
      </c>
      <c r="Q378">
        <v>7.6</v>
      </c>
      <c r="R378" s="8">
        <f t="shared" si="5"/>
        <v>43479</v>
      </c>
    </row>
    <row r="379" spans="1:18" x14ac:dyDescent="0.35">
      <c r="A379" t="s">
        <v>622</v>
      </c>
      <c r="B379" t="s">
        <v>18</v>
      </c>
      <c r="C379" t="s">
        <v>19</v>
      </c>
      <c r="D379" t="s">
        <v>27</v>
      </c>
      <c r="E379" t="s">
        <v>42</v>
      </c>
      <c r="F379" t="s">
        <v>50</v>
      </c>
      <c r="G379">
        <v>92.43</v>
      </c>
      <c r="H379">
        <v>4</v>
      </c>
      <c r="I379">
        <v>18.489999999999998</v>
      </c>
      <c r="J379">
        <v>388.21</v>
      </c>
      <c r="K379" t="s">
        <v>136</v>
      </c>
      <c r="L379" t="s">
        <v>34</v>
      </c>
      <c r="M379" t="s">
        <v>35</v>
      </c>
      <c r="N379">
        <v>369.72</v>
      </c>
      <c r="O379">
        <v>4.7618999999999998</v>
      </c>
      <c r="P379">
        <v>18.489999999999998</v>
      </c>
      <c r="Q379">
        <v>6.7</v>
      </c>
      <c r="R379" s="8">
        <f t="shared" si="5"/>
        <v>43501</v>
      </c>
    </row>
    <row r="380" spans="1:18" x14ac:dyDescent="0.35">
      <c r="A380" t="s">
        <v>623</v>
      </c>
      <c r="B380" t="s">
        <v>68</v>
      </c>
      <c r="C380" t="s">
        <v>69</v>
      </c>
      <c r="D380" t="s">
        <v>27</v>
      </c>
      <c r="E380" t="s">
        <v>42</v>
      </c>
      <c r="F380" t="s">
        <v>22</v>
      </c>
      <c r="G380">
        <v>59.3</v>
      </c>
      <c r="H380">
        <v>6</v>
      </c>
      <c r="I380">
        <v>17.79</v>
      </c>
      <c r="J380">
        <v>373.59</v>
      </c>
      <c r="K380" t="s">
        <v>116</v>
      </c>
      <c r="L380" t="s">
        <v>377</v>
      </c>
      <c r="M380" t="s">
        <v>45</v>
      </c>
      <c r="N380">
        <v>355.8</v>
      </c>
      <c r="O380">
        <v>4.7618999999999998</v>
      </c>
      <c r="P380">
        <v>17.79</v>
      </c>
      <c r="Q380">
        <v>5.3</v>
      </c>
      <c r="R380" s="8">
        <f t="shared" si="5"/>
        <v>43536</v>
      </c>
    </row>
    <row r="381" spans="1:18" x14ac:dyDescent="0.35">
      <c r="A381" t="s">
        <v>624</v>
      </c>
      <c r="B381" t="s">
        <v>37</v>
      </c>
      <c r="C381" t="s">
        <v>38</v>
      </c>
      <c r="D381" t="s">
        <v>27</v>
      </c>
      <c r="E381" t="s">
        <v>21</v>
      </c>
      <c r="F381" t="s">
        <v>22</v>
      </c>
      <c r="G381">
        <v>68.510000000000005</v>
      </c>
      <c r="H381">
        <v>3</v>
      </c>
      <c r="I381">
        <v>10.28</v>
      </c>
      <c r="J381">
        <v>215.81</v>
      </c>
      <c r="K381" t="s">
        <v>29</v>
      </c>
      <c r="L381" t="s">
        <v>625</v>
      </c>
      <c r="M381" t="s">
        <v>25</v>
      </c>
      <c r="N381">
        <v>205.53</v>
      </c>
      <c r="O381">
        <v>4.7618999999999998</v>
      </c>
      <c r="P381">
        <v>10.28</v>
      </c>
      <c r="Q381">
        <v>5.9</v>
      </c>
      <c r="R381" s="8">
        <f t="shared" si="5"/>
        <v>43530</v>
      </c>
    </row>
    <row r="382" spans="1:18" x14ac:dyDescent="0.35">
      <c r="A382" t="s">
        <v>626</v>
      </c>
      <c r="B382" t="s">
        <v>37</v>
      </c>
      <c r="C382" t="s">
        <v>38</v>
      </c>
      <c r="D382" t="s">
        <v>27</v>
      </c>
      <c r="E382" t="s">
        <v>42</v>
      </c>
      <c r="F382" t="s">
        <v>22</v>
      </c>
      <c r="G382">
        <v>77.31</v>
      </c>
      <c r="H382">
        <v>9</v>
      </c>
      <c r="I382">
        <v>34.79</v>
      </c>
      <c r="J382">
        <v>730.58</v>
      </c>
      <c r="K382" t="s">
        <v>216</v>
      </c>
      <c r="L382" t="s">
        <v>627</v>
      </c>
      <c r="M382" t="s">
        <v>25</v>
      </c>
      <c r="N382">
        <v>695.79</v>
      </c>
      <c r="O382">
        <v>4.7618999999999998</v>
      </c>
      <c r="P382">
        <v>34.79</v>
      </c>
      <c r="Q382">
        <v>4.5999999999999996</v>
      </c>
      <c r="R382" s="8">
        <f t="shared" si="5"/>
        <v>43502</v>
      </c>
    </row>
    <row r="383" spans="1:18" x14ac:dyDescent="0.35">
      <c r="A383" t="s">
        <v>628</v>
      </c>
      <c r="B383" t="s">
        <v>68</v>
      </c>
      <c r="C383" t="s">
        <v>69</v>
      </c>
      <c r="D383" t="s">
        <v>20</v>
      </c>
      <c r="E383" t="s">
        <v>21</v>
      </c>
      <c r="F383" t="s">
        <v>54</v>
      </c>
      <c r="G383">
        <v>34.03</v>
      </c>
      <c r="H383">
        <v>3</v>
      </c>
      <c r="I383">
        <v>5.0999999999999996</v>
      </c>
      <c r="J383">
        <v>107.19</v>
      </c>
      <c r="K383" t="s">
        <v>216</v>
      </c>
      <c r="L383" t="s">
        <v>110</v>
      </c>
      <c r="M383" t="s">
        <v>45</v>
      </c>
      <c r="N383">
        <v>102.09</v>
      </c>
      <c r="O383">
        <v>4.7618999999999998</v>
      </c>
      <c r="P383">
        <v>5.0999999999999996</v>
      </c>
      <c r="Q383">
        <v>9</v>
      </c>
      <c r="R383" s="8">
        <f t="shared" si="5"/>
        <v>43502</v>
      </c>
    </row>
    <row r="384" spans="1:18" x14ac:dyDescent="0.35">
      <c r="A384" t="s">
        <v>629</v>
      </c>
      <c r="B384" t="s">
        <v>37</v>
      </c>
      <c r="C384" t="s">
        <v>38</v>
      </c>
      <c r="D384" t="s">
        <v>20</v>
      </c>
      <c r="E384" t="s">
        <v>21</v>
      </c>
      <c r="F384" t="s">
        <v>61</v>
      </c>
      <c r="G384">
        <v>83.26</v>
      </c>
      <c r="H384">
        <v>2</v>
      </c>
      <c r="I384">
        <v>8.33</v>
      </c>
      <c r="J384">
        <v>174.85</v>
      </c>
      <c r="K384" t="s">
        <v>191</v>
      </c>
      <c r="L384" t="s">
        <v>131</v>
      </c>
      <c r="M384" t="s">
        <v>25</v>
      </c>
      <c r="N384">
        <v>166.52</v>
      </c>
      <c r="O384">
        <v>4.7618999999999998</v>
      </c>
      <c r="P384">
        <v>8.33</v>
      </c>
      <c r="Q384">
        <v>9.1999999999999993</v>
      </c>
      <c r="R384" s="8">
        <f t="shared" si="5"/>
        <v>43544</v>
      </c>
    </row>
    <row r="385" spans="1:18" x14ac:dyDescent="0.35">
      <c r="A385" t="s">
        <v>630</v>
      </c>
      <c r="B385" t="s">
        <v>18</v>
      </c>
      <c r="C385" t="s">
        <v>19</v>
      </c>
      <c r="D385" t="s">
        <v>27</v>
      </c>
      <c r="E385" t="s">
        <v>21</v>
      </c>
      <c r="F385" t="s">
        <v>50</v>
      </c>
      <c r="G385">
        <v>80.59</v>
      </c>
      <c r="H385">
        <v>5</v>
      </c>
      <c r="I385">
        <v>20.149999999999999</v>
      </c>
      <c r="J385">
        <v>423.1</v>
      </c>
      <c r="K385" t="s">
        <v>470</v>
      </c>
      <c r="L385" t="s">
        <v>631</v>
      </c>
      <c r="M385" t="s">
        <v>35</v>
      </c>
      <c r="N385">
        <v>402.95</v>
      </c>
      <c r="O385">
        <v>4.7618999999999998</v>
      </c>
      <c r="P385">
        <v>20.149999999999999</v>
      </c>
      <c r="Q385">
        <v>6.3</v>
      </c>
      <c r="R385" s="8">
        <f t="shared" si="5"/>
        <v>43554</v>
      </c>
    </row>
    <row r="386" spans="1:18" x14ac:dyDescent="0.35">
      <c r="A386" t="s">
        <v>632</v>
      </c>
      <c r="B386" t="s">
        <v>18</v>
      </c>
      <c r="C386" t="s">
        <v>19</v>
      </c>
      <c r="D386" t="s">
        <v>27</v>
      </c>
      <c r="E386" t="s">
        <v>21</v>
      </c>
      <c r="F386" t="s">
        <v>28</v>
      </c>
      <c r="G386">
        <v>76.930000000000007</v>
      </c>
      <c r="H386">
        <v>4</v>
      </c>
      <c r="I386">
        <v>15.39</v>
      </c>
      <c r="J386">
        <v>323.11</v>
      </c>
      <c r="K386" t="s">
        <v>145</v>
      </c>
      <c r="L386" t="s">
        <v>194</v>
      </c>
      <c r="M386" t="s">
        <v>25</v>
      </c>
      <c r="N386">
        <v>307.72000000000003</v>
      </c>
      <c r="O386">
        <v>4.7618999999999998</v>
      </c>
      <c r="P386">
        <v>15.39</v>
      </c>
      <c r="Q386">
        <v>8.1999999999999993</v>
      </c>
      <c r="R386" s="8">
        <f t="shared" si="5"/>
        <v>43545</v>
      </c>
    </row>
    <row r="387" spans="1:18" x14ac:dyDescent="0.35">
      <c r="A387" t="s">
        <v>633</v>
      </c>
      <c r="B387" t="s">
        <v>37</v>
      </c>
      <c r="C387" t="s">
        <v>38</v>
      </c>
      <c r="D387" t="s">
        <v>20</v>
      </c>
      <c r="E387" t="s">
        <v>21</v>
      </c>
      <c r="F387" t="s">
        <v>61</v>
      </c>
      <c r="G387">
        <v>50.39</v>
      </c>
      <c r="H387">
        <v>2</v>
      </c>
      <c r="I387">
        <v>5.04</v>
      </c>
      <c r="J387">
        <v>105.82</v>
      </c>
      <c r="K387" t="s">
        <v>93</v>
      </c>
      <c r="L387" t="s">
        <v>427</v>
      </c>
      <c r="M387" t="s">
        <v>25</v>
      </c>
      <c r="N387">
        <v>100.78</v>
      </c>
      <c r="O387">
        <v>4.7618999999999998</v>
      </c>
      <c r="P387">
        <v>5.04</v>
      </c>
      <c r="Q387">
        <v>4.7</v>
      </c>
      <c r="R387" s="8">
        <f t="shared" ref="R387:R450" si="6">DATEVALUE(K387)</f>
        <v>43489</v>
      </c>
    </row>
    <row r="388" spans="1:18" x14ac:dyDescent="0.35">
      <c r="A388" t="s">
        <v>634</v>
      </c>
      <c r="B388" t="s">
        <v>37</v>
      </c>
      <c r="C388" t="s">
        <v>38</v>
      </c>
      <c r="D388" t="s">
        <v>27</v>
      </c>
      <c r="E388" t="s">
        <v>42</v>
      </c>
      <c r="F388" t="s">
        <v>54</v>
      </c>
      <c r="G388">
        <v>24.48</v>
      </c>
      <c r="H388">
        <v>5</v>
      </c>
      <c r="I388">
        <v>6.12</v>
      </c>
      <c r="J388">
        <v>128.52000000000001</v>
      </c>
      <c r="K388" t="s">
        <v>422</v>
      </c>
      <c r="L388" t="s">
        <v>160</v>
      </c>
      <c r="M388" t="s">
        <v>25</v>
      </c>
      <c r="N388">
        <v>122.4</v>
      </c>
      <c r="O388">
        <v>4.7618999999999998</v>
      </c>
      <c r="P388">
        <v>6.12</v>
      </c>
      <c r="Q388">
        <v>9.6</v>
      </c>
      <c r="R388" s="8">
        <f t="shared" si="6"/>
        <v>43466</v>
      </c>
    </row>
    <row r="389" spans="1:18" x14ac:dyDescent="0.35">
      <c r="A389" t="s">
        <v>635</v>
      </c>
      <c r="B389" t="s">
        <v>68</v>
      </c>
      <c r="C389" t="s">
        <v>69</v>
      </c>
      <c r="D389" t="s">
        <v>27</v>
      </c>
      <c r="E389" t="s">
        <v>21</v>
      </c>
      <c r="F389" t="s">
        <v>22</v>
      </c>
      <c r="G389">
        <v>65.400000000000006</v>
      </c>
      <c r="H389">
        <v>5</v>
      </c>
      <c r="I389">
        <v>16.350000000000001</v>
      </c>
      <c r="J389">
        <v>343.35</v>
      </c>
      <c r="K389" t="s">
        <v>196</v>
      </c>
      <c r="L389" t="s">
        <v>299</v>
      </c>
      <c r="M389" t="s">
        <v>35</v>
      </c>
      <c r="N389">
        <v>327</v>
      </c>
      <c r="O389">
        <v>4.7618999999999998</v>
      </c>
      <c r="P389">
        <v>16.350000000000001</v>
      </c>
      <c r="Q389">
        <v>4.4000000000000004</v>
      </c>
      <c r="R389" s="8">
        <f t="shared" si="6"/>
        <v>43528</v>
      </c>
    </row>
    <row r="390" spans="1:18" x14ac:dyDescent="0.35">
      <c r="A390" t="s">
        <v>636</v>
      </c>
      <c r="B390" t="s">
        <v>37</v>
      </c>
      <c r="C390" t="s">
        <v>38</v>
      </c>
      <c r="D390" t="s">
        <v>20</v>
      </c>
      <c r="E390" t="s">
        <v>21</v>
      </c>
      <c r="F390" t="s">
        <v>50</v>
      </c>
      <c r="G390">
        <v>16.14</v>
      </c>
      <c r="H390">
        <v>9</v>
      </c>
      <c r="I390">
        <v>7.26</v>
      </c>
      <c r="J390">
        <v>152.52000000000001</v>
      </c>
      <c r="K390" t="s">
        <v>33</v>
      </c>
      <c r="L390" t="s">
        <v>536</v>
      </c>
      <c r="M390" t="s">
        <v>25</v>
      </c>
      <c r="N390">
        <v>145.26</v>
      </c>
      <c r="O390">
        <v>4.7618999999999998</v>
      </c>
      <c r="P390">
        <v>7.26</v>
      </c>
      <c r="Q390">
        <v>6.4</v>
      </c>
      <c r="R390" s="8">
        <f t="shared" si="6"/>
        <v>43486</v>
      </c>
    </row>
    <row r="391" spans="1:18" x14ac:dyDescent="0.35">
      <c r="A391" t="s">
        <v>637</v>
      </c>
      <c r="B391" t="s">
        <v>68</v>
      </c>
      <c r="C391" t="s">
        <v>69</v>
      </c>
      <c r="D391" t="s">
        <v>20</v>
      </c>
      <c r="E391" t="s">
        <v>42</v>
      </c>
      <c r="F391" t="s">
        <v>61</v>
      </c>
      <c r="G391">
        <v>42.47</v>
      </c>
      <c r="H391">
        <v>4</v>
      </c>
      <c r="I391">
        <v>8.49</v>
      </c>
      <c r="J391">
        <v>178.37</v>
      </c>
      <c r="K391" t="s">
        <v>145</v>
      </c>
      <c r="L391" t="s">
        <v>192</v>
      </c>
      <c r="M391" t="s">
        <v>25</v>
      </c>
      <c r="N391">
        <v>169.88</v>
      </c>
      <c r="O391">
        <v>4.7618999999999998</v>
      </c>
      <c r="P391">
        <v>8.49</v>
      </c>
      <c r="Q391">
        <v>8.9</v>
      </c>
      <c r="R391" s="8">
        <f t="shared" si="6"/>
        <v>43545</v>
      </c>
    </row>
    <row r="392" spans="1:18" x14ac:dyDescent="0.35">
      <c r="A392" t="s">
        <v>638</v>
      </c>
      <c r="B392" t="s">
        <v>68</v>
      </c>
      <c r="C392" t="s">
        <v>69</v>
      </c>
      <c r="D392" t="s">
        <v>20</v>
      </c>
      <c r="E392" t="s">
        <v>42</v>
      </c>
      <c r="F392" t="s">
        <v>32</v>
      </c>
      <c r="G392">
        <v>31.63</v>
      </c>
      <c r="H392">
        <v>10</v>
      </c>
      <c r="I392">
        <v>15.82</v>
      </c>
      <c r="J392">
        <v>332.12</v>
      </c>
      <c r="K392" t="s">
        <v>145</v>
      </c>
      <c r="L392" t="s">
        <v>76</v>
      </c>
      <c r="M392" t="s">
        <v>25</v>
      </c>
      <c r="N392">
        <v>316.3</v>
      </c>
      <c r="O392">
        <v>4.7618999999999998</v>
      </c>
      <c r="P392">
        <v>15.82</v>
      </c>
      <c r="Q392">
        <v>9.3000000000000007</v>
      </c>
      <c r="R392" s="8">
        <f t="shared" si="6"/>
        <v>43545</v>
      </c>
    </row>
    <row r="393" spans="1:18" x14ac:dyDescent="0.35">
      <c r="A393" t="s">
        <v>639</v>
      </c>
      <c r="B393" t="s">
        <v>68</v>
      </c>
      <c r="C393" t="s">
        <v>69</v>
      </c>
      <c r="D393" t="s">
        <v>27</v>
      </c>
      <c r="E393" t="s">
        <v>42</v>
      </c>
      <c r="F393" t="s">
        <v>50</v>
      </c>
      <c r="G393">
        <v>75.16</v>
      </c>
      <c r="H393">
        <v>1</v>
      </c>
      <c r="I393">
        <v>3.76</v>
      </c>
      <c r="J393">
        <v>78.92</v>
      </c>
      <c r="K393" t="s">
        <v>339</v>
      </c>
      <c r="L393" t="s">
        <v>391</v>
      </c>
      <c r="M393" t="s">
        <v>25</v>
      </c>
      <c r="N393">
        <v>75.16</v>
      </c>
      <c r="O393">
        <v>4.7618999999999998</v>
      </c>
      <c r="P393">
        <v>3.76</v>
      </c>
      <c r="Q393">
        <v>6.7</v>
      </c>
      <c r="R393" s="8">
        <f t="shared" si="6"/>
        <v>43532</v>
      </c>
    </row>
    <row r="394" spans="1:18" x14ac:dyDescent="0.35">
      <c r="A394" t="s">
        <v>640</v>
      </c>
      <c r="B394" t="s">
        <v>37</v>
      </c>
      <c r="C394" t="s">
        <v>38</v>
      </c>
      <c r="D394" t="s">
        <v>20</v>
      </c>
      <c r="E394" t="s">
        <v>42</v>
      </c>
      <c r="F394" t="s">
        <v>50</v>
      </c>
      <c r="G394">
        <v>17.41</v>
      </c>
      <c r="H394">
        <v>2</v>
      </c>
      <c r="I394">
        <v>1.74</v>
      </c>
      <c r="J394">
        <v>36.56</v>
      </c>
      <c r="K394" t="s">
        <v>175</v>
      </c>
      <c r="L394" t="s">
        <v>243</v>
      </c>
      <c r="M394" t="s">
        <v>45</v>
      </c>
      <c r="N394">
        <v>34.82</v>
      </c>
      <c r="O394">
        <v>4.7618999999999998</v>
      </c>
      <c r="P394">
        <v>1.74</v>
      </c>
      <c r="Q394">
        <v>7.8</v>
      </c>
      <c r="R394" s="8">
        <f t="shared" si="6"/>
        <v>43487</v>
      </c>
    </row>
    <row r="395" spans="1:18" x14ac:dyDescent="0.35">
      <c r="A395" t="s">
        <v>641</v>
      </c>
      <c r="B395" t="s">
        <v>18</v>
      </c>
      <c r="C395" t="s">
        <v>19</v>
      </c>
      <c r="D395" t="s">
        <v>20</v>
      </c>
      <c r="E395" t="s">
        <v>42</v>
      </c>
      <c r="F395" t="s">
        <v>28</v>
      </c>
      <c r="G395">
        <v>28.5</v>
      </c>
      <c r="H395">
        <v>7</v>
      </c>
      <c r="I395">
        <v>9.98</v>
      </c>
      <c r="J395">
        <v>209.48</v>
      </c>
      <c r="K395" t="s">
        <v>439</v>
      </c>
      <c r="L395" t="s">
        <v>342</v>
      </c>
      <c r="M395" t="s">
        <v>25</v>
      </c>
      <c r="N395">
        <v>199.5</v>
      </c>
      <c r="O395">
        <v>4.7618999999999998</v>
      </c>
      <c r="P395">
        <v>9.98</v>
      </c>
      <c r="Q395">
        <v>4.9000000000000004</v>
      </c>
      <c r="R395" s="8">
        <f t="shared" si="6"/>
        <v>43548</v>
      </c>
    </row>
    <row r="396" spans="1:18" x14ac:dyDescent="0.35">
      <c r="A396" t="s">
        <v>642</v>
      </c>
      <c r="B396" t="s">
        <v>18</v>
      </c>
      <c r="C396" t="s">
        <v>19</v>
      </c>
      <c r="D396" t="s">
        <v>27</v>
      </c>
      <c r="E396" t="s">
        <v>21</v>
      </c>
      <c r="F396" t="s">
        <v>28</v>
      </c>
      <c r="G396">
        <v>16.59</v>
      </c>
      <c r="H396">
        <v>3</v>
      </c>
      <c r="I396">
        <v>2.4900000000000002</v>
      </c>
      <c r="J396">
        <v>52.26</v>
      </c>
      <c r="K396" t="s">
        <v>179</v>
      </c>
      <c r="L396" t="s">
        <v>272</v>
      </c>
      <c r="M396" t="s">
        <v>25</v>
      </c>
      <c r="N396">
        <v>49.77</v>
      </c>
      <c r="O396">
        <v>4.7618999999999998</v>
      </c>
      <c r="P396">
        <v>2.4900000000000002</v>
      </c>
      <c r="Q396">
        <v>8.9</v>
      </c>
      <c r="R396" s="8">
        <f t="shared" si="6"/>
        <v>43498</v>
      </c>
    </row>
    <row r="397" spans="1:18" x14ac:dyDescent="0.35">
      <c r="A397" t="s">
        <v>643</v>
      </c>
      <c r="B397" t="s">
        <v>37</v>
      </c>
      <c r="C397" t="s">
        <v>38</v>
      </c>
      <c r="D397" t="s">
        <v>27</v>
      </c>
      <c r="E397" t="s">
        <v>42</v>
      </c>
      <c r="F397" t="s">
        <v>22</v>
      </c>
      <c r="G397">
        <v>46.4</v>
      </c>
      <c r="H397">
        <v>6</v>
      </c>
      <c r="I397">
        <v>13.92</v>
      </c>
      <c r="J397">
        <v>292.32</v>
      </c>
      <c r="K397" t="s">
        <v>170</v>
      </c>
      <c r="L397" t="s">
        <v>80</v>
      </c>
      <c r="M397" t="s">
        <v>45</v>
      </c>
      <c r="N397">
        <v>278.39999999999998</v>
      </c>
      <c r="O397">
        <v>4.7618999999999998</v>
      </c>
      <c r="P397">
        <v>13.92</v>
      </c>
      <c r="Q397">
        <v>7.2</v>
      </c>
      <c r="R397" s="8">
        <f t="shared" si="6"/>
        <v>43468</v>
      </c>
    </row>
    <row r="398" spans="1:18" x14ac:dyDescent="0.35">
      <c r="A398" t="s">
        <v>644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>
        <v>86.34</v>
      </c>
      <c r="H398">
        <v>6</v>
      </c>
      <c r="I398">
        <v>25.9</v>
      </c>
      <c r="J398">
        <v>543.94000000000005</v>
      </c>
      <c r="K398" t="s">
        <v>29</v>
      </c>
      <c r="L398" t="s">
        <v>137</v>
      </c>
      <c r="M398" t="s">
        <v>25</v>
      </c>
      <c r="N398">
        <v>518.04</v>
      </c>
      <c r="O398">
        <v>4.7618999999999998</v>
      </c>
      <c r="P398">
        <v>25.9</v>
      </c>
      <c r="Q398">
        <v>5.8</v>
      </c>
      <c r="R398" s="8">
        <f t="shared" si="6"/>
        <v>43530</v>
      </c>
    </row>
    <row r="399" spans="1:18" x14ac:dyDescent="0.35">
      <c r="A399" t="s">
        <v>645</v>
      </c>
      <c r="B399" t="s">
        <v>37</v>
      </c>
      <c r="C399" t="s">
        <v>38</v>
      </c>
      <c r="D399" t="s">
        <v>27</v>
      </c>
      <c r="E399" t="s">
        <v>42</v>
      </c>
      <c r="F399" t="s">
        <v>32</v>
      </c>
      <c r="G399">
        <v>83.99</v>
      </c>
      <c r="H399">
        <v>1</v>
      </c>
      <c r="I399">
        <v>4.2</v>
      </c>
      <c r="J399">
        <v>88.19</v>
      </c>
      <c r="K399" t="s">
        <v>226</v>
      </c>
      <c r="L399" t="s">
        <v>358</v>
      </c>
      <c r="M399" t="s">
        <v>45</v>
      </c>
      <c r="N399">
        <v>83.99</v>
      </c>
      <c r="O399">
        <v>4.7618999999999998</v>
      </c>
      <c r="P399">
        <v>4.2</v>
      </c>
      <c r="Q399">
        <v>4.8</v>
      </c>
      <c r="R399" s="8">
        <f t="shared" si="6"/>
        <v>43526</v>
      </c>
    </row>
    <row r="400" spans="1:18" x14ac:dyDescent="0.35">
      <c r="A400" t="s">
        <v>646</v>
      </c>
      <c r="B400" t="s">
        <v>18</v>
      </c>
      <c r="C400" t="s">
        <v>19</v>
      </c>
      <c r="D400" t="s">
        <v>27</v>
      </c>
      <c r="E400" t="s">
        <v>21</v>
      </c>
      <c r="F400" t="s">
        <v>61</v>
      </c>
      <c r="G400">
        <v>70.959999999999994</v>
      </c>
      <c r="H400">
        <v>6</v>
      </c>
      <c r="I400">
        <v>21.29</v>
      </c>
      <c r="J400">
        <v>447.05</v>
      </c>
      <c r="K400" t="s">
        <v>415</v>
      </c>
      <c r="L400" t="s">
        <v>243</v>
      </c>
      <c r="M400" t="s">
        <v>45</v>
      </c>
      <c r="N400">
        <v>425.76</v>
      </c>
      <c r="O400">
        <v>4.7618999999999998</v>
      </c>
      <c r="P400">
        <v>21.29</v>
      </c>
      <c r="Q400">
        <v>4.7</v>
      </c>
      <c r="R400" s="8">
        <f t="shared" si="6"/>
        <v>43467</v>
      </c>
    </row>
    <row r="401" spans="1:18" x14ac:dyDescent="0.35">
      <c r="A401" t="s">
        <v>647</v>
      </c>
      <c r="B401" t="s">
        <v>18</v>
      </c>
      <c r="C401" t="s">
        <v>19</v>
      </c>
      <c r="D401" t="s">
        <v>27</v>
      </c>
      <c r="E401" t="s">
        <v>21</v>
      </c>
      <c r="F401" t="s">
        <v>61</v>
      </c>
      <c r="G401">
        <v>28.9</v>
      </c>
      <c r="H401">
        <v>6</v>
      </c>
      <c r="I401">
        <v>8.67</v>
      </c>
      <c r="J401">
        <v>182.07</v>
      </c>
      <c r="K401" t="s">
        <v>330</v>
      </c>
      <c r="L401" t="s">
        <v>80</v>
      </c>
      <c r="M401" t="s">
        <v>25</v>
      </c>
      <c r="N401">
        <v>173.4</v>
      </c>
      <c r="O401">
        <v>4.7618999999999998</v>
      </c>
      <c r="P401">
        <v>8.67</v>
      </c>
      <c r="Q401">
        <v>4.9000000000000004</v>
      </c>
      <c r="R401" s="8">
        <f t="shared" si="6"/>
        <v>43493</v>
      </c>
    </row>
    <row r="402" spans="1:18" x14ac:dyDescent="0.35">
      <c r="A402" t="s">
        <v>648</v>
      </c>
      <c r="B402" t="s">
        <v>68</v>
      </c>
      <c r="C402" t="s">
        <v>69</v>
      </c>
      <c r="D402" t="s">
        <v>27</v>
      </c>
      <c r="E402" t="s">
        <v>21</v>
      </c>
      <c r="F402" t="s">
        <v>28</v>
      </c>
      <c r="G402">
        <v>26.32</v>
      </c>
      <c r="H402">
        <v>10</v>
      </c>
      <c r="I402">
        <v>13.16</v>
      </c>
      <c r="J402">
        <v>276.36</v>
      </c>
      <c r="K402" t="s">
        <v>387</v>
      </c>
      <c r="L402" t="s">
        <v>192</v>
      </c>
      <c r="M402" t="s">
        <v>25</v>
      </c>
      <c r="N402">
        <v>263.2</v>
      </c>
      <c r="O402">
        <v>4.7618999999999998</v>
      </c>
      <c r="P402">
        <v>13.16</v>
      </c>
      <c r="Q402">
        <v>7.3</v>
      </c>
      <c r="R402" s="8">
        <f t="shared" si="6"/>
        <v>43472</v>
      </c>
    </row>
    <row r="403" spans="1:18" x14ac:dyDescent="0.35">
      <c r="A403" t="s">
        <v>649</v>
      </c>
      <c r="B403" t="s">
        <v>18</v>
      </c>
      <c r="C403" t="s">
        <v>19</v>
      </c>
      <c r="D403" t="s">
        <v>20</v>
      </c>
      <c r="E403" t="s">
        <v>42</v>
      </c>
      <c r="F403" t="s">
        <v>28</v>
      </c>
      <c r="G403">
        <v>27.77</v>
      </c>
      <c r="H403">
        <v>10</v>
      </c>
      <c r="I403">
        <v>13.88</v>
      </c>
      <c r="J403">
        <v>291.58</v>
      </c>
      <c r="K403" t="s">
        <v>196</v>
      </c>
      <c r="L403" t="s">
        <v>485</v>
      </c>
      <c r="M403" t="s">
        <v>45</v>
      </c>
      <c r="N403">
        <v>277.7</v>
      </c>
      <c r="O403">
        <v>4.7618999999999998</v>
      </c>
      <c r="P403">
        <v>13.88</v>
      </c>
      <c r="Q403">
        <v>8</v>
      </c>
      <c r="R403" s="8">
        <f t="shared" si="6"/>
        <v>43528</v>
      </c>
    </row>
    <row r="404" spans="1:18" x14ac:dyDescent="0.35">
      <c r="A404" t="s">
        <v>650</v>
      </c>
      <c r="B404" t="s">
        <v>68</v>
      </c>
      <c r="C404" t="s">
        <v>69</v>
      </c>
      <c r="D404" t="s">
        <v>27</v>
      </c>
      <c r="E404" t="s">
        <v>21</v>
      </c>
      <c r="F404" t="s">
        <v>54</v>
      </c>
      <c r="G404">
        <v>38.6</v>
      </c>
      <c r="H404">
        <v>8</v>
      </c>
      <c r="I404">
        <v>15.44</v>
      </c>
      <c r="J404">
        <v>324.24</v>
      </c>
      <c r="K404" t="s">
        <v>229</v>
      </c>
      <c r="L404" t="s">
        <v>114</v>
      </c>
      <c r="M404" t="s">
        <v>35</v>
      </c>
      <c r="N404">
        <v>308.8</v>
      </c>
      <c r="O404">
        <v>4.7618999999999998</v>
      </c>
      <c r="P404">
        <v>15.44</v>
      </c>
      <c r="Q404">
        <v>8.1999999999999993</v>
      </c>
      <c r="R404" s="8">
        <f t="shared" si="6"/>
        <v>43508</v>
      </c>
    </row>
    <row r="405" spans="1:18" x14ac:dyDescent="0.35">
      <c r="A405" t="s">
        <v>651</v>
      </c>
      <c r="B405" t="s">
        <v>18</v>
      </c>
      <c r="C405" t="s">
        <v>19</v>
      </c>
      <c r="D405" t="s">
        <v>27</v>
      </c>
      <c r="E405" t="s">
        <v>42</v>
      </c>
      <c r="F405" t="s">
        <v>32</v>
      </c>
      <c r="G405">
        <v>25.18</v>
      </c>
      <c r="H405">
        <v>6</v>
      </c>
      <c r="I405">
        <v>7.55</v>
      </c>
      <c r="J405">
        <v>158.63</v>
      </c>
      <c r="K405" t="s">
        <v>182</v>
      </c>
      <c r="L405" t="s">
        <v>44</v>
      </c>
      <c r="M405" t="s">
        <v>25</v>
      </c>
      <c r="N405">
        <v>151.08000000000001</v>
      </c>
      <c r="O405">
        <v>4.7618999999999998</v>
      </c>
      <c r="P405">
        <v>7.55</v>
      </c>
      <c r="Q405">
        <v>7.8</v>
      </c>
      <c r="R405" s="8">
        <f t="shared" si="6"/>
        <v>43497</v>
      </c>
    </row>
    <row r="406" spans="1:18" x14ac:dyDescent="0.35">
      <c r="A406" t="s">
        <v>652</v>
      </c>
      <c r="B406" t="s">
        <v>37</v>
      </c>
      <c r="C406" t="s">
        <v>38</v>
      </c>
      <c r="D406" t="s">
        <v>20</v>
      </c>
      <c r="E406" t="s">
        <v>42</v>
      </c>
      <c r="F406" t="s">
        <v>32</v>
      </c>
      <c r="G406">
        <v>51.66</v>
      </c>
      <c r="H406">
        <v>6</v>
      </c>
      <c r="I406">
        <v>15.5</v>
      </c>
      <c r="J406">
        <v>325.45999999999998</v>
      </c>
      <c r="K406" t="s">
        <v>75</v>
      </c>
      <c r="L406" t="s">
        <v>66</v>
      </c>
      <c r="M406" t="s">
        <v>45</v>
      </c>
      <c r="N406">
        <v>309.95999999999998</v>
      </c>
      <c r="O406">
        <v>4.7618999999999998</v>
      </c>
      <c r="P406">
        <v>15.5</v>
      </c>
      <c r="Q406">
        <v>5.0999999999999996</v>
      </c>
      <c r="R406" s="8">
        <f t="shared" si="6"/>
        <v>43505</v>
      </c>
    </row>
    <row r="407" spans="1:18" x14ac:dyDescent="0.35">
      <c r="A407" t="s">
        <v>653</v>
      </c>
      <c r="B407" t="s">
        <v>68</v>
      </c>
      <c r="C407" t="s">
        <v>69</v>
      </c>
      <c r="D407" t="s">
        <v>27</v>
      </c>
      <c r="E407" t="s">
        <v>21</v>
      </c>
      <c r="F407" t="s">
        <v>50</v>
      </c>
      <c r="G407">
        <v>27.68</v>
      </c>
      <c r="H407">
        <v>2</v>
      </c>
      <c r="I407">
        <v>2.77</v>
      </c>
      <c r="J407">
        <v>58.13</v>
      </c>
      <c r="K407" t="s">
        <v>85</v>
      </c>
      <c r="L407" t="s">
        <v>158</v>
      </c>
      <c r="M407" t="s">
        <v>25</v>
      </c>
      <c r="N407">
        <v>55.36</v>
      </c>
      <c r="O407">
        <v>4.7618999999999998</v>
      </c>
      <c r="P407">
        <v>2.77</v>
      </c>
      <c r="Q407">
        <v>4.2</v>
      </c>
      <c r="R407" s="8">
        <f t="shared" si="6"/>
        <v>43475</v>
      </c>
    </row>
    <row r="408" spans="1:18" x14ac:dyDescent="0.35">
      <c r="A408" t="s">
        <v>654</v>
      </c>
      <c r="B408" t="s">
        <v>18</v>
      </c>
      <c r="C408" t="s">
        <v>19</v>
      </c>
      <c r="D408" t="s">
        <v>27</v>
      </c>
      <c r="E408" t="s">
        <v>21</v>
      </c>
      <c r="F408" t="s">
        <v>28</v>
      </c>
      <c r="G408">
        <v>59.64</v>
      </c>
      <c r="H408">
        <v>9</v>
      </c>
      <c r="I408">
        <v>26.84</v>
      </c>
      <c r="J408">
        <v>563.6</v>
      </c>
      <c r="K408" t="s">
        <v>281</v>
      </c>
      <c r="L408" t="s">
        <v>370</v>
      </c>
      <c r="M408" t="s">
        <v>45</v>
      </c>
      <c r="N408">
        <v>536.76</v>
      </c>
      <c r="O408">
        <v>4.7618999999999998</v>
      </c>
      <c r="P408">
        <v>26.84</v>
      </c>
      <c r="Q408">
        <v>6.2</v>
      </c>
      <c r="R408" s="8">
        <f t="shared" si="6"/>
        <v>43535</v>
      </c>
    </row>
    <row r="409" spans="1:18" x14ac:dyDescent="0.35">
      <c r="A409" t="s">
        <v>655</v>
      </c>
      <c r="B409" t="s">
        <v>18</v>
      </c>
      <c r="C409" t="s">
        <v>19</v>
      </c>
      <c r="D409" t="s">
        <v>27</v>
      </c>
      <c r="E409" t="s">
        <v>21</v>
      </c>
      <c r="F409" t="s">
        <v>32</v>
      </c>
      <c r="G409">
        <v>55.1</v>
      </c>
      <c r="H409">
        <v>2</v>
      </c>
      <c r="I409">
        <v>5.51</v>
      </c>
      <c r="J409">
        <v>115.71</v>
      </c>
      <c r="K409" t="s">
        <v>560</v>
      </c>
      <c r="L409" t="s">
        <v>391</v>
      </c>
      <c r="M409" t="s">
        <v>45</v>
      </c>
      <c r="N409">
        <v>110.2</v>
      </c>
      <c r="O409">
        <v>4.7618999999999998</v>
      </c>
      <c r="P409">
        <v>5.51</v>
      </c>
      <c r="Q409">
        <v>8</v>
      </c>
      <c r="R409" s="8">
        <f t="shared" si="6"/>
        <v>43516</v>
      </c>
    </row>
    <row r="410" spans="1:18" x14ac:dyDescent="0.35">
      <c r="A410" t="s">
        <v>656</v>
      </c>
      <c r="B410" t="s">
        <v>18</v>
      </c>
      <c r="C410" t="s">
        <v>19</v>
      </c>
      <c r="D410" t="s">
        <v>20</v>
      </c>
      <c r="E410" t="s">
        <v>21</v>
      </c>
      <c r="F410" t="s">
        <v>32</v>
      </c>
      <c r="G410">
        <v>24.33</v>
      </c>
      <c r="H410">
        <v>10</v>
      </c>
      <c r="I410">
        <v>12.17</v>
      </c>
      <c r="J410">
        <v>255.47</v>
      </c>
      <c r="K410" t="s">
        <v>526</v>
      </c>
      <c r="L410" t="s">
        <v>316</v>
      </c>
      <c r="M410" t="s">
        <v>25</v>
      </c>
      <c r="N410">
        <v>243.3</v>
      </c>
      <c r="O410">
        <v>4.7618999999999998</v>
      </c>
      <c r="P410">
        <v>12.17</v>
      </c>
      <c r="Q410">
        <v>8.4</v>
      </c>
      <c r="R410" s="8">
        <f t="shared" si="6"/>
        <v>43538</v>
      </c>
    </row>
    <row r="411" spans="1:18" x14ac:dyDescent="0.35">
      <c r="A411" t="s">
        <v>657</v>
      </c>
      <c r="B411" t="s">
        <v>68</v>
      </c>
      <c r="C411" t="s">
        <v>69</v>
      </c>
      <c r="D411" t="s">
        <v>20</v>
      </c>
      <c r="E411" t="s">
        <v>42</v>
      </c>
      <c r="F411" t="s">
        <v>54</v>
      </c>
      <c r="G411">
        <v>15.66</v>
      </c>
      <c r="H411">
        <v>6</v>
      </c>
      <c r="I411">
        <v>4.7</v>
      </c>
      <c r="J411">
        <v>98.66</v>
      </c>
      <c r="K411" t="s">
        <v>253</v>
      </c>
      <c r="L411" t="s">
        <v>236</v>
      </c>
      <c r="M411" t="s">
        <v>45</v>
      </c>
      <c r="N411">
        <v>93.96</v>
      </c>
      <c r="O411">
        <v>4.7618999999999998</v>
      </c>
      <c r="P411">
        <v>4.7</v>
      </c>
      <c r="Q411">
        <v>7.1</v>
      </c>
      <c r="R411" s="8">
        <f t="shared" si="6"/>
        <v>43495</v>
      </c>
    </row>
    <row r="412" spans="1:18" x14ac:dyDescent="0.35">
      <c r="A412" t="s">
        <v>658</v>
      </c>
      <c r="B412" t="s">
        <v>37</v>
      </c>
      <c r="C412" t="s">
        <v>38</v>
      </c>
      <c r="D412" t="s">
        <v>27</v>
      </c>
      <c r="E412" t="s">
        <v>42</v>
      </c>
      <c r="F412" t="s">
        <v>32</v>
      </c>
      <c r="G412">
        <v>89.34</v>
      </c>
      <c r="H412">
        <v>1</v>
      </c>
      <c r="I412">
        <v>4.47</v>
      </c>
      <c r="J412">
        <v>93.81</v>
      </c>
      <c r="K412" t="s">
        <v>276</v>
      </c>
      <c r="L412" t="s">
        <v>270</v>
      </c>
      <c r="M412" t="s">
        <v>25</v>
      </c>
      <c r="N412">
        <v>89.34</v>
      </c>
      <c r="O412">
        <v>4.7618999999999998</v>
      </c>
      <c r="P412">
        <v>4.47</v>
      </c>
      <c r="Q412">
        <v>9.8000000000000007</v>
      </c>
      <c r="R412" s="8">
        <f t="shared" si="6"/>
        <v>43549</v>
      </c>
    </row>
    <row r="413" spans="1:18" x14ac:dyDescent="0.35">
      <c r="A413" t="s">
        <v>659</v>
      </c>
      <c r="B413" t="s">
        <v>37</v>
      </c>
      <c r="C413" t="s">
        <v>38</v>
      </c>
      <c r="D413" t="s">
        <v>27</v>
      </c>
      <c r="E413" t="s">
        <v>21</v>
      </c>
      <c r="F413" t="s">
        <v>32</v>
      </c>
      <c r="G413">
        <v>68.83</v>
      </c>
      <c r="H413">
        <v>6</v>
      </c>
      <c r="I413">
        <v>20.65</v>
      </c>
      <c r="J413">
        <v>433.63</v>
      </c>
      <c r="K413" t="s">
        <v>82</v>
      </c>
      <c r="L413" t="s">
        <v>473</v>
      </c>
      <c r="M413" t="s">
        <v>25</v>
      </c>
      <c r="N413">
        <v>412.98</v>
      </c>
      <c r="O413">
        <v>4.7618999999999998</v>
      </c>
      <c r="P413">
        <v>20.65</v>
      </c>
      <c r="Q413">
        <v>5.5</v>
      </c>
      <c r="R413" s="8">
        <f t="shared" si="6"/>
        <v>43541</v>
      </c>
    </row>
    <row r="414" spans="1:18" x14ac:dyDescent="0.35">
      <c r="A414" t="s">
        <v>660</v>
      </c>
      <c r="B414" t="s">
        <v>18</v>
      </c>
      <c r="C414" t="s">
        <v>19</v>
      </c>
      <c r="D414" t="s">
        <v>27</v>
      </c>
      <c r="E414" t="s">
        <v>42</v>
      </c>
      <c r="F414" t="s">
        <v>61</v>
      </c>
      <c r="G414">
        <v>53.82</v>
      </c>
      <c r="H414">
        <v>8</v>
      </c>
      <c r="I414">
        <v>21.53</v>
      </c>
      <c r="J414">
        <v>452.09</v>
      </c>
      <c r="K414" t="s">
        <v>39</v>
      </c>
      <c r="L414" t="s">
        <v>158</v>
      </c>
      <c r="M414" t="s">
        <v>45</v>
      </c>
      <c r="N414">
        <v>430.56</v>
      </c>
      <c r="O414">
        <v>4.7618999999999998</v>
      </c>
      <c r="P414">
        <v>21.53</v>
      </c>
      <c r="Q414">
        <v>6.6</v>
      </c>
      <c r="R414" s="8">
        <f t="shared" si="6"/>
        <v>43543</v>
      </c>
    </row>
    <row r="415" spans="1:18" x14ac:dyDescent="0.35">
      <c r="A415" t="s">
        <v>661</v>
      </c>
      <c r="B415" t="s">
        <v>68</v>
      </c>
      <c r="C415" t="s">
        <v>69</v>
      </c>
      <c r="D415" t="s">
        <v>27</v>
      </c>
      <c r="E415" t="s">
        <v>21</v>
      </c>
      <c r="F415" t="s">
        <v>54</v>
      </c>
      <c r="G415">
        <v>26.82</v>
      </c>
      <c r="H415">
        <v>6</v>
      </c>
      <c r="I415">
        <v>8.0500000000000007</v>
      </c>
      <c r="J415">
        <v>168.97</v>
      </c>
      <c r="K415" t="s">
        <v>39</v>
      </c>
      <c r="L415" t="s">
        <v>24</v>
      </c>
      <c r="M415" t="s">
        <v>45</v>
      </c>
      <c r="N415">
        <v>160.91999999999999</v>
      </c>
      <c r="O415">
        <v>4.7618999999999998</v>
      </c>
      <c r="P415">
        <v>8.0500000000000007</v>
      </c>
      <c r="Q415">
        <v>6.5</v>
      </c>
      <c r="R415" s="8">
        <f t="shared" si="6"/>
        <v>43543</v>
      </c>
    </row>
    <row r="416" spans="1:18" x14ac:dyDescent="0.35">
      <c r="A416" t="s">
        <v>662</v>
      </c>
      <c r="B416" t="s">
        <v>18</v>
      </c>
      <c r="C416" t="s">
        <v>19</v>
      </c>
      <c r="D416" t="s">
        <v>20</v>
      </c>
      <c r="E416" t="s">
        <v>42</v>
      </c>
      <c r="F416" t="s">
        <v>22</v>
      </c>
      <c r="G416">
        <v>53.09</v>
      </c>
      <c r="H416">
        <v>4</v>
      </c>
      <c r="I416">
        <v>10.62</v>
      </c>
      <c r="J416">
        <v>222.98</v>
      </c>
      <c r="K416" t="s">
        <v>82</v>
      </c>
      <c r="L416" t="s">
        <v>534</v>
      </c>
      <c r="M416" t="s">
        <v>35</v>
      </c>
      <c r="N416">
        <v>212.36</v>
      </c>
      <c r="O416">
        <v>4.7618999999999998</v>
      </c>
      <c r="P416">
        <v>10.62</v>
      </c>
      <c r="Q416">
        <v>4.0999999999999996</v>
      </c>
      <c r="R416" s="8">
        <f t="shared" si="6"/>
        <v>43541</v>
      </c>
    </row>
    <row r="417" spans="1:18" x14ac:dyDescent="0.35">
      <c r="A417" t="s">
        <v>663</v>
      </c>
      <c r="B417" t="s">
        <v>68</v>
      </c>
      <c r="C417" t="s">
        <v>69</v>
      </c>
      <c r="D417" t="s">
        <v>20</v>
      </c>
      <c r="E417" t="s">
        <v>21</v>
      </c>
      <c r="F417" t="s">
        <v>22</v>
      </c>
      <c r="G417">
        <v>56.14</v>
      </c>
      <c r="H417">
        <v>10</v>
      </c>
      <c r="I417">
        <v>28.07</v>
      </c>
      <c r="J417">
        <v>589.47</v>
      </c>
      <c r="K417" t="s">
        <v>58</v>
      </c>
      <c r="L417" t="s">
        <v>664</v>
      </c>
      <c r="M417" t="s">
        <v>35</v>
      </c>
      <c r="N417">
        <v>561.4</v>
      </c>
      <c r="O417">
        <v>4.7618999999999998</v>
      </c>
      <c r="P417">
        <v>28.07</v>
      </c>
      <c r="Q417">
        <v>9.5</v>
      </c>
      <c r="R417" s="8">
        <f t="shared" si="6"/>
        <v>43484</v>
      </c>
    </row>
    <row r="418" spans="1:18" x14ac:dyDescent="0.35">
      <c r="A418" t="s">
        <v>665</v>
      </c>
      <c r="B418" t="s">
        <v>37</v>
      </c>
      <c r="C418" t="s">
        <v>38</v>
      </c>
      <c r="D418" t="s">
        <v>20</v>
      </c>
      <c r="E418" t="s">
        <v>42</v>
      </c>
      <c r="F418" t="s">
        <v>28</v>
      </c>
      <c r="G418">
        <v>29.49</v>
      </c>
      <c r="H418">
        <v>10</v>
      </c>
      <c r="I418">
        <v>14.74</v>
      </c>
      <c r="J418">
        <v>309.64</v>
      </c>
      <c r="K418" t="s">
        <v>226</v>
      </c>
      <c r="L418" t="s">
        <v>176</v>
      </c>
      <c r="M418" t="s">
        <v>45</v>
      </c>
      <c r="N418">
        <v>294.89999999999998</v>
      </c>
      <c r="O418">
        <v>4.7618999999999998</v>
      </c>
      <c r="P418">
        <v>14.74</v>
      </c>
      <c r="Q418">
        <v>9</v>
      </c>
      <c r="R418" s="8">
        <f t="shared" si="6"/>
        <v>43526</v>
      </c>
    </row>
    <row r="419" spans="1:18" x14ac:dyDescent="0.35">
      <c r="A419" t="s">
        <v>666</v>
      </c>
      <c r="B419" t="s">
        <v>68</v>
      </c>
      <c r="C419" t="s">
        <v>69</v>
      </c>
      <c r="D419" t="s">
        <v>20</v>
      </c>
      <c r="E419" t="s">
        <v>42</v>
      </c>
      <c r="F419" t="s">
        <v>54</v>
      </c>
      <c r="G419">
        <v>75.180000000000007</v>
      </c>
      <c r="H419">
        <v>6</v>
      </c>
      <c r="I419">
        <v>22.55</v>
      </c>
      <c r="J419">
        <v>473.63</v>
      </c>
      <c r="K419" t="s">
        <v>202</v>
      </c>
      <c r="L419" t="s">
        <v>184</v>
      </c>
      <c r="M419" t="s">
        <v>45</v>
      </c>
      <c r="N419">
        <v>451.08</v>
      </c>
      <c r="O419">
        <v>4.7618999999999998</v>
      </c>
      <c r="P419">
        <v>22.55</v>
      </c>
      <c r="Q419">
        <v>5.4</v>
      </c>
      <c r="R419" s="8">
        <f t="shared" si="6"/>
        <v>43524</v>
      </c>
    </row>
    <row r="420" spans="1:18" x14ac:dyDescent="0.35">
      <c r="A420" t="s">
        <v>667</v>
      </c>
      <c r="B420" t="s">
        <v>68</v>
      </c>
      <c r="C420" t="s">
        <v>69</v>
      </c>
      <c r="D420" t="s">
        <v>20</v>
      </c>
      <c r="E420" t="s">
        <v>21</v>
      </c>
      <c r="F420" t="s">
        <v>54</v>
      </c>
      <c r="G420">
        <v>57.04</v>
      </c>
      <c r="H420">
        <v>9</v>
      </c>
      <c r="I420">
        <v>25.67</v>
      </c>
      <c r="J420">
        <v>539.03</v>
      </c>
      <c r="K420" t="s">
        <v>295</v>
      </c>
      <c r="L420" t="s">
        <v>267</v>
      </c>
      <c r="M420" t="s">
        <v>25</v>
      </c>
      <c r="N420">
        <v>513.36</v>
      </c>
      <c r="O420">
        <v>4.7618999999999998</v>
      </c>
      <c r="P420">
        <v>25.67</v>
      </c>
      <c r="Q420">
        <v>4.5999999999999996</v>
      </c>
      <c r="R420" s="8">
        <f t="shared" si="6"/>
        <v>43553</v>
      </c>
    </row>
    <row r="421" spans="1:18" x14ac:dyDescent="0.35">
      <c r="A421" t="s">
        <v>668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53.4</v>
      </c>
      <c r="H421">
        <v>3</v>
      </c>
      <c r="I421">
        <v>8.01</v>
      </c>
      <c r="J421">
        <v>168.21</v>
      </c>
      <c r="K421" t="s">
        <v>39</v>
      </c>
      <c r="L421" t="s">
        <v>103</v>
      </c>
      <c r="M421" t="s">
        <v>25</v>
      </c>
      <c r="N421">
        <v>160.19999999999999</v>
      </c>
      <c r="O421">
        <v>4.7618999999999998</v>
      </c>
      <c r="P421">
        <v>8.01</v>
      </c>
      <c r="Q421">
        <v>7.9</v>
      </c>
      <c r="R421" s="8">
        <f t="shared" si="6"/>
        <v>43543</v>
      </c>
    </row>
    <row r="422" spans="1:18" x14ac:dyDescent="0.35">
      <c r="A422" t="s">
        <v>669</v>
      </c>
      <c r="B422" t="s">
        <v>37</v>
      </c>
      <c r="C422" t="s">
        <v>38</v>
      </c>
      <c r="D422" t="s">
        <v>27</v>
      </c>
      <c r="E422" t="s">
        <v>21</v>
      </c>
      <c r="F422" t="s">
        <v>22</v>
      </c>
      <c r="G422">
        <v>57.68</v>
      </c>
      <c r="H422">
        <v>4</v>
      </c>
      <c r="I422">
        <v>11.54</v>
      </c>
      <c r="J422">
        <v>242.26</v>
      </c>
      <c r="K422" t="s">
        <v>412</v>
      </c>
      <c r="L422" t="s">
        <v>34</v>
      </c>
      <c r="M422" t="s">
        <v>25</v>
      </c>
      <c r="N422">
        <v>230.72</v>
      </c>
      <c r="O422">
        <v>4.7618999999999998</v>
      </c>
      <c r="P422">
        <v>11.54</v>
      </c>
      <c r="Q422">
        <v>8.8000000000000007</v>
      </c>
      <c r="R422" s="8">
        <f t="shared" si="6"/>
        <v>43527</v>
      </c>
    </row>
    <row r="423" spans="1:18" x14ac:dyDescent="0.35">
      <c r="A423" t="s">
        <v>670</v>
      </c>
      <c r="B423" t="s">
        <v>18</v>
      </c>
      <c r="C423" t="s">
        <v>19</v>
      </c>
      <c r="D423" t="s">
        <v>20</v>
      </c>
      <c r="E423" t="s">
        <v>42</v>
      </c>
      <c r="F423" t="s">
        <v>54</v>
      </c>
      <c r="G423">
        <v>32.909999999999997</v>
      </c>
      <c r="H423">
        <v>4</v>
      </c>
      <c r="I423">
        <v>6.58</v>
      </c>
      <c r="J423">
        <v>138.22</v>
      </c>
      <c r="K423" t="s">
        <v>107</v>
      </c>
      <c r="L423" t="s">
        <v>497</v>
      </c>
      <c r="M423" t="s">
        <v>25</v>
      </c>
      <c r="N423">
        <v>131.63999999999999</v>
      </c>
      <c r="O423">
        <v>4.7618999999999998</v>
      </c>
      <c r="P423">
        <v>6.58</v>
      </c>
      <c r="Q423">
        <v>6.5</v>
      </c>
      <c r="R423" s="8">
        <f t="shared" si="6"/>
        <v>43476</v>
      </c>
    </row>
    <row r="424" spans="1:18" x14ac:dyDescent="0.35">
      <c r="A424" t="s">
        <v>671</v>
      </c>
      <c r="B424" t="s">
        <v>68</v>
      </c>
      <c r="C424" t="s">
        <v>69</v>
      </c>
      <c r="D424" t="s">
        <v>20</v>
      </c>
      <c r="E424" t="s">
        <v>21</v>
      </c>
      <c r="F424" t="s">
        <v>50</v>
      </c>
      <c r="G424">
        <v>10.65</v>
      </c>
      <c r="H424">
        <v>4</v>
      </c>
      <c r="I424">
        <v>2.13</v>
      </c>
      <c r="J424">
        <v>44.73</v>
      </c>
      <c r="K424" t="s">
        <v>470</v>
      </c>
      <c r="L424" t="s">
        <v>466</v>
      </c>
      <c r="M424" t="s">
        <v>35</v>
      </c>
      <c r="N424">
        <v>42.6</v>
      </c>
      <c r="O424">
        <v>4.7618999999999998</v>
      </c>
      <c r="P424">
        <v>2.13</v>
      </c>
      <c r="Q424">
        <v>4.5999999999999996</v>
      </c>
      <c r="R424" s="8">
        <f t="shared" si="6"/>
        <v>43554</v>
      </c>
    </row>
    <row r="425" spans="1:18" x14ac:dyDescent="0.35">
      <c r="A425" t="s">
        <v>672</v>
      </c>
      <c r="B425" t="s">
        <v>18</v>
      </c>
      <c r="C425" t="s">
        <v>19</v>
      </c>
      <c r="D425" t="s">
        <v>27</v>
      </c>
      <c r="E425" t="s">
        <v>42</v>
      </c>
      <c r="F425" t="s">
        <v>50</v>
      </c>
      <c r="G425">
        <v>48.12</v>
      </c>
      <c r="H425">
        <v>6</v>
      </c>
      <c r="I425">
        <v>14.44</v>
      </c>
      <c r="J425">
        <v>303.16000000000003</v>
      </c>
      <c r="K425" t="s">
        <v>191</v>
      </c>
      <c r="L425" t="s">
        <v>259</v>
      </c>
      <c r="M425" t="s">
        <v>35</v>
      </c>
      <c r="N425">
        <v>288.72000000000003</v>
      </c>
      <c r="O425">
        <v>4.7618999999999998</v>
      </c>
      <c r="P425">
        <v>14.44</v>
      </c>
      <c r="Q425">
        <v>8.5</v>
      </c>
      <c r="R425" s="8">
        <f t="shared" si="6"/>
        <v>43544</v>
      </c>
    </row>
    <row r="426" spans="1:18" x14ac:dyDescent="0.35">
      <c r="A426" t="s">
        <v>673</v>
      </c>
      <c r="B426" t="s">
        <v>18</v>
      </c>
      <c r="C426" t="s">
        <v>19</v>
      </c>
      <c r="D426" t="s">
        <v>27</v>
      </c>
      <c r="E426" t="s">
        <v>21</v>
      </c>
      <c r="F426" t="s">
        <v>61</v>
      </c>
      <c r="G426">
        <v>60.32</v>
      </c>
      <c r="H426">
        <v>8</v>
      </c>
      <c r="I426">
        <v>24.13</v>
      </c>
      <c r="J426">
        <v>506.69</v>
      </c>
      <c r="K426" t="s">
        <v>179</v>
      </c>
      <c r="L426" t="s">
        <v>497</v>
      </c>
      <c r="M426" t="s">
        <v>35</v>
      </c>
      <c r="N426">
        <v>482.56</v>
      </c>
      <c r="O426">
        <v>4.7618999999999998</v>
      </c>
      <c r="P426">
        <v>24.13</v>
      </c>
      <c r="Q426">
        <v>8.6</v>
      </c>
      <c r="R426" s="8">
        <f t="shared" si="6"/>
        <v>43498</v>
      </c>
    </row>
    <row r="427" spans="1:18" x14ac:dyDescent="0.35">
      <c r="A427" t="s">
        <v>674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>
        <v>30.68</v>
      </c>
      <c r="H427">
        <v>3</v>
      </c>
      <c r="I427">
        <v>4.5999999999999996</v>
      </c>
      <c r="J427">
        <v>96.64</v>
      </c>
      <c r="K427" t="s">
        <v>405</v>
      </c>
      <c r="L427" t="s">
        <v>432</v>
      </c>
      <c r="M427" t="s">
        <v>35</v>
      </c>
      <c r="N427">
        <v>92.04</v>
      </c>
      <c r="O427">
        <v>4.7618999999999998</v>
      </c>
      <c r="P427">
        <v>4.5999999999999996</v>
      </c>
      <c r="Q427">
        <v>8.6999999999999993</v>
      </c>
      <c r="R427" s="8">
        <f t="shared" si="6"/>
        <v>43478</v>
      </c>
    </row>
    <row r="428" spans="1:18" x14ac:dyDescent="0.35">
      <c r="A428" t="s">
        <v>675</v>
      </c>
      <c r="B428" t="s">
        <v>18</v>
      </c>
      <c r="C428" t="s">
        <v>19</v>
      </c>
      <c r="D428" t="s">
        <v>20</v>
      </c>
      <c r="E428" t="s">
        <v>21</v>
      </c>
      <c r="F428" t="s">
        <v>32</v>
      </c>
      <c r="G428">
        <v>96.81</v>
      </c>
      <c r="H428">
        <v>1</v>
      </c>
      <c r="I428">
        <v>4.84</v>
      </c>
      <c r="J428">
        <v>101.65</v>
      </c>
      <c r="K428" t="s">
        <v>96</v>
      </c>
      <c r="L428" t="s">
        <v>71</v>
      </c>
      <c r="M428" t="s">
        <v>25</v>
      </c>
      <c r="N428">
        <v>96.81</v>
      </c>
      <c r="O428">
        <v>4.7618999999999998</v>
      </c>
      <c r="P428">
        <v>4.84</v>
      </c>
      <c r="Q428">
        <v>6.6</v>
      </c>
      <c r="R428" s="8">
        <f t="shared" si="6"/>
        <v>43477</v>
      </c>
    </row>
    <row r="429" spans="1:18" x14ac:dyDescent="0.35">
      <c r="A429" t="s">
        <v>676</v>
      </c>
      <c r="B429" t="s">
        <v>37</v>
      </c>
      <c r="C429" t="s">
        <v>38</v>
      </c>
      <c r="D429" t="s">
        <v>20</v>
      </c>
      <c r="E429" t="s">
        <v>42</v>
      </c>
      <c r="F429" t="s">
        <v>28</v>
      </c>
      <c r="G429">
        <v>64.81</v>
      </c>
      <c r="H429">
        <v>7</v>
      </c>
      <c r="I429">
        <v>22.68</v>
      </c>
      <c r="J429">
        <v>476.35</v>
      </c>
      <c r="K429" t="s">
        <v>55</v>
      </c>
      <c r="L429" t="s">
        <v>114</v>
      </c>
      <c r="M429" t="s">
        <v>25</v>
      </c>
      <c r="N429">
        <v>453.67</v>
      </c>
      <c r="O429">
        <v>4.7618999999999998</v>
      </c>
      <c r="P429">
        <v>22.68</v>
      </c>
      <c r="Q429">
        <v>5.7</v>
      </c>
      <c r="R429" s="8">
        <f t="shared" si="6"/>
        <v>43517</v>
      </c>
    </row>
    <row r="430" spans="1:18" x14ac:dyDescent="0.35">
      <c r="A430" t="s">
        <v>677</v>
      </c>
      <c r="B430" t="s">
        <v>68</v>
      </c>
      <c r="C430" t="s">
        <v>69</v>
      </c>
      <c r="D430" t="s">
        <v>20</v>
      </c>
      <c r="E430" t="s">
        <v>42</v>
      </c>
      <c r="F430" t="s">
        <v>32</v>
      </c>
      <c r="G430">
        <v>10.96</v>
      </c>
      <c r="H430">
        <v>9</v>
      </c>
      <c r="I430">
        <v>4.93</v>
      </c>
      <c r="J430">
        <v>103.57</v>
      </c>
      <c r="K430" t="s">
        <v>216</v>
      </c>
      <c r="L430" t="s">
        <v>76</v>
      </c>
      <c r="M430" t="s">
        <v>25</v>
      </c>
      <c r="N430">
        <v>98.64</v>
      </c>
      <c r="O430">
        <v>4.7618999999999998</v>
      </c>
      <c r="P430">
        <v>4.93</v>
      </c>
      <c r="Q430">
        <v>7.1</v>
      </c>
      <c r="R430" s="8">
        <f t="shared" si="6"/>
        <v>43502</v>
      </c>
    </row>
    <row r="431" spans="1:18" x14ac:dyDescent="0.35">
      <c r="A431" t="s">
        <v>678</v>
      </c>
      <c r="B431" t="s">
        <v>68</v>
      </c>
      <c r="C431" t="s">
        <v>69</v>
      </c>
      <c r="D431" t="s">
        <v>20</v>
      </c>
      <c r="E431" t="s">
        <v>21</v>
      </c>
      <c r="F431" t="s">
        <v>61</v>
      </c>
      <c r="G431">
        <v>31.53</v>
      </c>
      <c r="H431">
        <v>1</v>
      </c>
      <c r="I431">
        <v>1.58</v>
      </c>
      <c r="J431">
        <v>33.11</v>
      </c>
      <c r="K431" t="s">
        <v>33</v>
      </c>
      <c r="L431" t="s">
        <v>137</v>
      </c>
      <c r="M431" t="s">
        <v>35</v>
      </c>
      <c r="N431">
        <v>31.53</v>
      </c>
      <c r="O431">
        <v>4.7618999999999998</v>
      </c>
      <c r="P431">
        <v>1.58</v>
      </c>
      <c r="Q431">
        <v>6.1</v>
      </c>
      <c r="R431" s="8">
        <f t="shared" si="6"/>
        <v>43486</v>
      </c>
    </row>
    <row r="432" spans="1:18" x14ac:dyDescent="0.35">
      <c r="A432" t="s">
        <v>679</v>
      </c>
      <c r="B432" t="s">
        <v>37</v>
      </c>
      <c r="C432" t="s">
        <v>38</v>
      </c>
      <c r="D432" t="s">
        <v>20</v>
      </c>
      <c r="E432" t="s">
        <v>21</v>
      </c>
      <c r="F432" t="s">
        <v>22</v>
      </c>
      <c r="G432">
        <v>73.33</v>
      </c>
      <c r="H432">
        <v>2</v>
      </c>
      <c r="I432">
        <v>7.33</v>
      </c>
      <c r="J432">
        <v>153.99</v>
      </c>
      <c r="K432" t="s">
        <v>116</v>
      </c>
      <c r="L432" t="s">
        <v>326</v>
      </c>
      <c r="M432" t="s">
        <v>25</v>
      </c>
      <c r="N432">
        <v>146.66</v>
      </c>
      <c r="O432">
        <v>4.7618999999999998</v>
      </c>
      <c r="P432">
        <v>7.33</v>
      </c>
      <c r="Q432">
        <v>9.5</v>
      </c>
      <c r="R432" s="8">
        <f t="shared" si="6"/>
        <v>43536</v>
      </c>
    </row>
    <row r="433" spans="1:18" x14ac:dyDescent="0.35">
      <c r="A433" t="s">
        <v>680</v>
      </c>
      <c r="B433" t="s">
        <v>37</v>
      </c>
      <c r="C433" t="s">
        <v>38</v>
      </c>
      <c r="D433" t="s">
        <v>27</v>
      </c>
      <c r="E433" t="s">
        <v>21</v>
      </c>
      <c r="F433" t="s">
        <v>50</v>
      </c>
      <c r="G433">
        <v>96.68</v>
      </c>
      <c r="H433">
        <v>8</v>
      </c>
      <c r="I433">
        <v>38.67</v>
      </c>
      <c r="J433">
        <v>812.11</v>
      </c>
      <c r="K433" t="s">
        <v>55</v>
      </c>
      <c r="L433" t="s">
        <v>30</v>
      </c>
      <c r="M433" t="s">
        <v>35</v>
      </c>
      <c r="N433">
        <v>773.44</v>
      </c>
      <c r="O433">
        <v>4.7618999999999998</v>
      </c>
      <c r="P433">
        <v>38.67</v>
      </c>
      <c r="Q433">
        <v>5.0999999999999996</v>
      </c>
      <c r="R433" s="8">
        <f t="shared" si="6"/>
        <v>43517</v>
      </c>
    </row>
    <row r="434" spans="1:18" x14ac:dyDescent="0.35">
      <c r="A434" t="s">
        <v>681</v>
      </c>
      <c r="B434" t="s">
        <v>68</v>
      </c>
      <c r="C434" t="s">
        <v>69</v>
      </c>
      <c r="D434" t="s">
        <v>20</v>
      </c>
      <c r="E434" t="s">
        <v>42</v>
      </c>
      <c r="F434" t="s">
        <v>61</v>
      </c>
      <c r="G434">
        <v>95.23</v>
      </c>
      <c r="H434">
        <v>9</v>
      </c>
      <c r="I434">
        <v>42.85</v>
      </c>
      <c r="J434">
        <v>899.92</v>
      </c>
      <c r="K434" t="s">
        <v>179</v>
      </c>
      <c r="L434" t="s">
        <v>73</v>
      </c>
      <c r="M434" t="s">
        <v>35</v>
      </c>
      <c r="N434">
        <v>857.07</v>
      </c>
      <c r="O434">
        <v>4.7618999999999998</v>
      </c>
      <c r="P434">
        <v>42.85</v>
      </c>
      <c r="Q434">
        <v>8.1999999999999993</v>
      </c>
      <c r="R434" s="8">
        <f t="shared" si="6"/>
        <v>43498</v>
      </c>
    </row>
    <row r="435" spans="1:18" x14ac:dyDescent="0.35">
      <c r="A435" t="s">
        <v>682</v>
      </c>
      <c r="B435" t="s">
        <v>18</v>
      </c>
      <c r="C435" t="s">
        <v>19</v>
      </c>
      <c r="D435" t="s">
        <v>27</v>
      </c>
      <c r="E435" t="s">
        <v>21</v>
      </c>
      <c r="F435" t="s">
        <v>61</v>
      </c>
      <c r="G435">
        <v>96.51</v>
      </c>
      <c r="H435">
        <v>8</v>
      </c>
      <c r="I435">
        <v>38.6</v>
      </c>
      <c r="J435">
        <v>810.68</v>
      </c>
      <c r="K435" t="s">
        <v>295</v>
      </c>
      <c r="L435" t="s">
        <v>344</v>
      </c>
      <c r="M435" t="s">
        <v>45</v>
      </c>
      <c r="N435">
        <v>772.08</v>
      </c>
      <c r="O435">
        <v>4.7618999999999998</v>
      </c>
      <c r="P435">
        <v>38.6</v>
      </c>
      <c r="Q435">
        <v>6.9</v>
      </c>
      <c r="R435" s="8">
        <f t="shared" si="6"/>
        <v>43553</v>
      </c>
    </row>
    <row r="436" spans="1:18" x14ac:dyDescent="0.35">
      <c r="A436" t="s">
        <v>683</v>
      </c>
      <c r="B436" t="s">
        <v>68</v>
      </c>
      <c r="C436" t="s">
        <v>69</v>
      </c>
      <c r="D436" t="s">
        <v>27</v>
      </c>
      <c r="E436" t="s">
        <v>21</v>
      </c>
      <c r="F436" t="s">
        <v>22</v>
      </c>
      <c r="G436">
        <v>73.11</v>
      </c>
      <c r="H436">
        <v>6</v>
      </c>
      <c r="I436">
        <v>21.93</v>
      </c>
      <c r="J436">
        <v>460.59</v>
      </c>
      <c r="K436" t="s">
        <v>130</v>
      </c>
      <c r="L436" t="s">
        <v>391</v>
      </c>
      <c r="M436" t="s">
        <v>25</v>
      </c>
      <c r="N436">
        <v>438.66</v>
      </c>
      <c r="O436">
        <v>4.7618999999999998</v>
      </c>
      <c r="P436">
        <v>21.93</v>
      </c>
      <c r="Q436">
        <v>4.0999999999999996</v>
      </c>
      <c r="R436" s="8">
        <f t="shared" si="6"/>
        <v>43518</v>
      </c>
    </row>
    <row r="437" spans="1:18" x14ac:dyDescent="0.35">
      <c r="A437" t="s">
        <v>684</v>
      </c>
      <c r="B437" t="s">
        <v>37</v>
      </c>
      <c r="C437" t="s">
        <v>38</v>
      </c>
      <c r="D437" t="s">
        <v>20</v>
      </c>
      <c r="E437" t="s">
        <v>42</v>
      </c>
      <c r="F437" t="s">
        <v>28</v>
      </c>
      <c r="G437">
        <v>45.9</v>
      </c>
      <c r="H437">
        <v>6</v>
      </c>
      <c r="I437">
        <v>13.77</v>
      </c>
      <c r="J437">
        <v>289.17</v>
      </c>
      <c r="K437" t="s">
        <v>85</v>
      </c>
      <c r="L437" t="s">
        <v>372</v>
      </c>
      <c r="M437" t="s">
        <v>35</v>
      </c>
      <c r="N437">
        <v>275.39999999999998</v>
      </c>
      <c r="O437">
        <v>4.7618999999999998</v>
      </c>
      <c r="P437">
        <v>13.77</v>
      </c>
      <c r="Q437">
        <v>5.9</v>
      </c>
      <c r="R437" s="8">
        <f t="shared" si="6"/>
        <v>43475</v>
      </c>
    </row>
    <row r="438" spans="1:18" x14ac:dyDescent="0.35">
      <c r="A438" t="s">
        <v>685</v>
      </c>
      <c r="B438" t="s">
        <v>18</v>
      </c>
      <c r="C438" t="s">
        <v>19</v>
      </c>
      <c r="D438" t="s">
        <v>27</v>
      </c>
      <c r="E438" t="s">
        <v>21</v>
      </c>
      <c r="F438" t="s">
        <v>22</v>
      </c>
      <c r="G438">
        <v>71.48</v>
      </c>
      <c r="H438">
        <v>4</v>
      </c>
      <c r="I438">
        <v>14.3</v>
      </c>
      <c r="J438">
        <v>300.22000000000003</v>
      </c>
      <c r="K438" t="s">
        <v>521</v>
      </c>
      <c r="L438" t="s">
        <v>575</v>
      </c>
      <c r="M438" t="s">
        <v>25</v>
      </c>
      <c r="N438">
        <v>285.92</v>
      </c>
      <c r="O438">
        <v>4.7618999999999998</v>
      </c>
      <c r="P438">
        <v>14.3</v>
      </c>
      <c r="Q438">
        <v>5.5</v>
      </c>
      <c r="R438" s="8">
        <f t="shared" si="6"/>
        <v>43529</v>
      </c>
    </row>
    <row r="439" spans="1:18" x14ac:dyDescent="0.35">
      <c r="A439" t="s">
        <v>686</v>
      </c>
      <c r="B439" t="s">
        <v>68</v>
      </c>
      <c r="C439" t="s">
        <v>69</v>
      </c>
      <c r="D439" t="s">
        <v>20</v>
      </c>
      <c r="E439" t="s">
        <v>21</v>
      </c>
      <c r="F439" t="s">
        <v>54</v>
      </c>
      <c r="G439">
        <v>85.27</v>
      </c>
      <c r="H439">
        <v>6</v>
      </c>
      <c r="I439">
        <v>25.58</v>
      </c>
      <c r="J439">
        <v>537.20000000000005</v>
      </c>
      <c r="K439" t="s">
        <v>477</v>
      </c>
      <c r="L439" t="s">
        <v>88</v>
      </c>
      <c r="M439" t="s">
        <v>45</v>
      </c>
      <c r="N439">
        <v>511.62</v>
      </c>
      <c r="O439">
        <v>4.7618999999999998</v>
      </c>
      <c r="P439">
        <v>25.58</v>
      </c>
      <c r="Q439">
        <v>8.1</v>
      </c>
      <c r="R439" s="8">
        <f t="shared" si="6"/>
        <v>43485</v>
      </c>
    </row>
    <row r="440" spans="1:18" x14ac:dyDescent="0.35">
      <c r="A440" t="s">
        <v>687</v>
      </c>
      <c r="B440" t="s">
        <v>37</v>
      </c>
      <c r="C440" t="s">
        <v>38</v>
      </c>
      <c r="D440" t="s">
        <v>20</v>
      </c>
      <c r="E440" t="s">
        <v>21</v>
      </c>
      <c r="F440" t="s">
        <v>32</v>
      </c>
      <c r="G440">
        <v>43.41</v>
      </c>
      <c r="H440">
        <v>6</v>
      </c>
      <c r="I440">
        <v>13.02</v>
      </c>
      <c r="J440">
        <v>273.48</v>
      </c>
      <c r="K440" t="s">
        <v>521</v>
      </c>
      <c r="L440" t="s">
        <v>140</v>
      </c>
      <c r="M440" t="s">
        <v>35</v>
      </c>
      <c r="N440">
        <v>260.45999999999998</v>
      </c>
      <c r="O440">
        <v>4.7618999999999998</v>
      </c>
      <c r="P440">
        <v>13.02</v>
      </c>
      <c r="Q440">
        <v>5.0999999999999996</v>
      </c>
      <c r="R440" s="8">
        <f t="shared" si="6"/>
        <v>43529</v>
      </c>
    </row>
    <row r="441" spans="1:18" x14ac:dyDescent="0.35">
      <c r="A441" t="s">
        <v>688</v>
      </c>
      <c r="B441" t="s">
        <v>18</v>
      </c>
      <c r="C441" t="s">
        <v>19</v>
      </c>
      <c r="D441" t="s">
        <v>27</v>
      </c>
      <c r="E441" t="s">
        <v>42</v>
      </c>
      <c r="F441" t="s">
        <v>54</v>
      </c>
      <c r="G441">
        <v>77.52</v>
      </c>
      <c r="H441">
        <v>3</v>
      </c>
      <c r="I441">
        <v>11.63</v>
      </c>
      <c r="J441">
        <v>244.19</v>
      </c>
      <c r="K441" t="s">
        <v>387</v>
      </c>
      <c r="L441" t="s">
        <v>128</v>
      </c>
      <c r="M441" t="s">
        <v>35</v>
      </c>
      <c r="N441">
        <v>232.56</v>
      </c>
      <c r="O441">
        <v>4.7618999999999998</v>
      </c>
      <c r="P441">
        <v>11.63</v>
      </c>
      <c r="Q441">
        <v>9.6</v>
      </c>
      <c r="R441" s="8">
        <f t="shared" si="6"/>
        <v>43472</v>
      </c>
    </row>
    <row r="442" spans="1:18" x14ac:dyDescent="0.35">
      <c r="A442" t="s">
        <v>689</v>
      </c>
      <c r="B442" t="s">
        <v>18</v>
      </c>
      <c r="C442" t="s">
        <v>19</v>
      </c>
      <c r="D442" t="s">
        <v>27</v>
      </c>
      <c r="E442" t="s">
        <v>42</v>
      </c>
      <c r="F442" t="s">
        <v>22</v>
      </c>
      <c r="G442">
        <v>79.83</v>
      </c>
      <c r="H442">
        <v>8</v>
      </c>
      <c r="I442">
        <v>31.93</v>
      </c>
      <c r="J442">
        <v>670.57</v>
      </c>
      <c r="K442" t="s">
        <v>187</v>
      </c>
      <c r="L442" t="s">
        <v>192</v>
      </c>
      <c r="M442" t="s">
        <v>35</v>
      </c>
      <c r="N442">
        <v>638.64</v>
      </c>
      <c r="O442">
        <v>4.7618999999999998</v>
      </c>
      <c r="P442">
        <v>31.93</v>
      </c>
      <c r="Q442">
        <v>8.1</v>
      </c>
      <c r="R442" s="8">
        <f t="shared" si="6"/>
        <v>43481</v>
      </c>
    </row>
    <row r="443" spans="1:18" x14ac:dyDescent="0.35">
      <c r="A443" t="s">
        <v>690</v>
      </c>
      <c r="B443" t="s">
        <v>18</v>
      </c>
      <c r="C443" t="s">
        <v>19</v>
      </c>
      <c r="D443" t="s">
        <v>20</v>
      </c>
      <c r="E443" t="s">
        <v>42</v>
      </c>
      <c r="F443" t="s">
        <v>50</v>
      </c>
      <c r="G443">
        <v>19.07</v>
      </c>
      <c r="H443">
        <v>6</v>
      </c>
      <c r="I443">
        <v>5.72</v>
      </c>
      <c r="J443">
        <v>120.14</v>
      </c>
      <c r="K443" t="s">
        <v>191</v>
      </c>
      <c r="L443" t="s">
        <v>59</v>
      </c>
      <c r="M443" t="s">
        <v>25</v>
      </c>
      <c r="N443">
        <v>114.42</v>
      </c>
      <c r="O443">
        <v>4.7618999999999998</v>
      </c>
      <c r="P443">
        <v>5.72</v>
      </c>
      <c r="Q443">
        <v>5.6</v>
      </c>
      <c r="R443" s="8">
        <f t="shared" si="6"/>
        <v>43544</v>
      </c>
    </row>
    <row r="444" spans="1:18" x14ac:dyDescent="0.35">
      <c r="A444" t="s">
        <v>691</v>
      </c>
      <c r="B444" t="s">
        <v>37</v>
      </c>
      <c r="C444" t="s">
        <v>38</v>
      </c>
      <c r="D444" t="s">
        <v>27</v>
      </c>
      <c r="E444" t="s">
        <v>42</v>
      </c>
      <c r="F444" t="s">
        <v>54</v>
      </c>
      <c r="G444">
        <v>54.89</v>
      </c>
      <c r="H444">
        <v>4</v>
      </c>
      <c r="I444">
        <v>10.98</v>
      </c>
      <c r="J444">
        <v>230.54</v>
      </c>
      <c r="K444" t="s">
        <v>395</v>
      </c>
      <c r="L444" t="s">
        <v>485</v>
      </c>
      <c r="M444" t="s">
        <v>35</v>
      </c>
      <c r="N444">
        <v>219.56</v>
      </c>
      <c r="O444">
        <v>4.7618999999999998</v>
      </c>
      <c r="P444">
        <v>10.98</v>
      </c>
      <c r="Q444">
        <v>5.7</v>
      </c>
      <c r="R444" s="8">
        <f t="shared" si="6"/>
        <v>43519</v>
      </c>
    </row>
    <row r="445" spans="1:18" x14ac:dyDescent="0.35">
      <c r="A445" t="s">
        <v>692</v>
      </c>
      <c r="B445" t="s">
        <v>18</v>
      </c>
      <c r="C445" t="s">
        <v>19</v>
      </c>
      <c r="D445" t="s">
        <v>20</v>
      </c>
      <c r="E445" t="s">
        <v>21</v>
      </c>
      <c r="F445" t="s">
        <v>28</v>
      </c>
      <c r="G445">
        <v>74.87</v>
      </c>
      <c r="H445">
        <v>4</v>
      </c>
      <c r="I445">
        <v>14.97</v>
      </c>
      <c r="J445">
        <v>314.45</v>
      </c>
      <c r="K445" t="s">
        <v>121</v>
      </c>
      <c r="L445" t="s">
        <v>168</v>
      </c>
      <c r="M445" t="s">
        <v>45</v>
      </c>
      <c r="N445">
        <v>299.48</v>
      </c>
      <c r="O445">
        <v>4.7618999999999998</v>
      </c>
      <c r="P445">
        <v>14.97</v>
      </c>
      <c r="Q445">
        <v>4.9000000000000004</v>
      </c>
      <c r="R445" s="8">
        <f t="shared" si="6"/>
        <v>43537</v>
      </c>
    </row>
    <row r="446" spans="1:18" x14ac:dyDescent="0.35">
      <c r="A446" t="s">
        <v>693</v>
      </c>
      <c r="B446" t="s">
        <v>68</v>
      </c>
      <c r="C446" t="s">
        <v>69</v>
      </c>
      <c r="D446" t="s">
        <v>27</v>
      </c>
      <c r="E446" t="s">
        <v>21</v>
      </c>
      <c r="F446" t="s">
        <v>54</v>
      </c>
      <c r="G446">
        <v>47.94</v>
      </c>
      <c r="H446">
        <v>3</v>
      </c>
      <c r="I446">
        <v>7.19</v>
      </c>
      <c r="J446">
        <v>151.01</v>
      </c>
      <c r="K446" t="s">
        <v>264</v>
      </c>
      <c r="L446" t="s">
        <v>243</v>
      </c>
      <c r="M446" t="s">
        <v>25</v>
      </c>
      <c r="N446">
        <v>143.82</v>
      </c>
      <c r="O446">
        <v>4.7618999999999998</v>
      </c>
      <c r="P446">
        <v>7.19</v>
      </c>
      <c r="Q446">
        <v>5.9</v>
      </c>
      <c r="R446" s="8">
        <f t="shared" si="6"/>
        <v>43546</v>
      </c>
    </row>
    <row r="447" spans="1:18" x14ac:dyDescent="0.35">
      <c r="A447" t="s">
        <v>694</v>
      </c>
      <c r="B447" t="s">
        <v>37</v>
      </c>
      <c r="C447" t="s">
        <v>38</v>
      </c>
      <c r="D447" t="s">
        <v>27</v>
      </c>
      <c r="E447" t="s">
        <v>21</v>
      </c>
      <c r="F447" t="s">
        <v>32</v>
      </c>
      <c r="G447">
        <v>18.91</v>
      </c>
      <c r="H447">
        <v>3</v>
      </c>
      <c r="I447">
        <v>2.84</v>
      </c>
      <c r="J447">
        <v>59.57</v>
      </c>
      <c r="K447" t="s">
        <v>90</v>
      </c>
      <c r="L447" t="s">
        <v>200</v>
      </c>
      <c r="M447" t="s">
        <v>35</v>
      </c>
      <c r="N447">
        <v>56.73</v>
      </c>
      <c r="O447">
        <v>4.7618999999999998</v>
      </c>
      <c r="P447">
        <v>2.84</v>
      </c>
      <c r="Q447">
        <v>9</v>
      </c>
      <c r="R447" s="8">
        <f t="shared" si="6"/>
        <v>43473</v>
      </c>
    </row>
    <row r="448" spans="1:18" x14ac:dyDescent="0.35">
      <c r="A448" t="s">
        <v>695</v>
      </c>
      <c r="B448" t="s">
        <v>37</v>
      </c>
      <c r="C448" t="s">
        <v>38</v>
      </c>
      <c r="D448" t="s">
        <v>27</v>
      </c>
      <c r="E448" t="s">
        <v>42</v>
      </c>
      <c r="F448" t="s">
        <v>61</v>
      </c>
      <c r="G448">
        <v>42.43</v>
      </c>
      <c r="H448">
        <v>9</v>
      </c>
      <c r="I448">
        <v>19.09</v>
      </c>
      <c r="J448">
        <v>400.96</v>
      </c>
      <c r="K448" t="s">
        <v>179</v>
      </c>
      <c r="L448" t="s">
        <v>255</v>
      </c>
      <c r="M448" t="s">
        <v>35</v>
      </c>
      <c r="N448">
        <v>381.87</v>
      </c>
      <c r="O448">
        <v>4.7618999999999998</v>
      </c>
      <c r="P448">
        <v>19.09</v>
      </c>
      <c r="Q448">
        <v>4.7</v>
      </c>
      <c r="R448" s="8">
        <f t="shared" si="6"/>
        <v>43498</v>
      </c>
    </row>
    <row r="449" spans="1:18" x14ac:dyDescent="0.35">
      <c r="A449" t="s">
        <v>696</v>
      </c>
      <c r="B449" t="s">
        <v>18</v>
      </c>
      <c r="C449" t="s">
        <v>19</v>
      </c>
      <c r="D449" t="s">
        <v>20</v>
      </c>
      <c r="E449" t="s">
        <v>21</v>
      </c>
      <c r="F449" t="s">
        <v>61</v>
      </c>
      <c r="G449">
        <v>41.96</v>
      </c>
      <c r="H449">
        <v>9</v>
      </c>
      <c r="I449">
        <v>18.88</v>
      </c>
      <c r="J449">
        <v>396.52</v>
      </c>
      <c r="K449" t="s">
        <v>196</v>
      </c>
      <c r="L449" t="s">
        <v>63</v>
      </c>
      <c r="M449" t="s">
        <v>35</v>
      </c>
      <c r="N449">
        <v>377.64</v>
      </c>
      <c r="O449">
        <v>4.7618999999999998</v>
      </c>
      <c r="P449">
        <v>18.88</v>
      </c>
      <c r="Q449">
        <v>7.7</v>
      </c>
      <c r="R449" s="8">
        <f t="shared" si="6"/>
        <v>43528</v>
      </c>
    </row>
    <row r="450" spans="1:18" x14ac:dyDescent="0.35">
      <c r="A450" t="s">
        <v>697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>
        <v>82.69</v>
      </c>
      <c r="H450">
        <v>6</v>
      </c>
      <c r="I450">
        <v>24.81</v>
      </c>
      <c r="J450">
        <v>520.95000000000005</v>
      </c>
      <c r="K450" t="s">
        <v>395</v>
      </c>
      <c r="L450" t="s">
        <v>375</v>
      </c>
      <c r="M450" t="s">
        <v>25</v>
      </c>
      <c r="N450">
        <v>496.14</v>
      </c>
      <c r="O450">
        <v>4.7618999999999998</v>
      </c>
      <c r="P450">
        <v>24.81</v>
      </c>
      <c r="Q450">
        <v>6.4</v>
      </c>
      <c r="R450" s="8">
        <f t="shared" si="6"/>
        <v>43519</v>
      </c>
    </row>
    <row r="451" spans="1:18" x14ac:dyDescent="0.35">
      <c r="A451" t="s">
        <v>698</v>
      </c>
      <c r="B451" t="s">
        <v>68</v>
      </c>
      <c r="C451" t="s">
        <v>69</v>
      </c>
      <c r="D451" t="s">
        <v>20</v>
      </c>
      <c r="E451" t="s">
        <v>42</v>
      </c>
      <c r="F451" t="s">
        <v>54</v>
      </c>
      <c r="G451">
        <v>38.21</v>
      </c>
      <c r="H451">
        <v>5</v>
      </c>
      <c r="I451">
        <v>9.5500000000000007</v>
      </c>
      <c r="J451">
        <v>200.6</v>
      </c>
      <c r="K451" t="s">
        <v>218</v>
      </c>
      <c r="L451" t="s">
        <v>114</v>
      </c>
      <c r="M451" t="s">
        <v>35</v>
      </c>
      <c r="N451">
        <v>191.05</v>
      </c>
      <c r="O451">
        <v>4.7618999999999998</v>
      </c>
      <c r="P451">
        <v>9.5500000000000007</v>
      </c>
      <c r="Q451">
        <v>5.6</v>
      </c>
      <c r="R451" s="8">
        <f t="shared" ref="R451:R514" si="7">DATEVALUE(K451)</f>
        <v>43500</v>
      </c>
    </row>
    <row r="452" spans="1:18" x14ac:dyDescent="0.35">
      <c r="A452" t="s">
        <v>699</v>
      </c>
      <c r="B452" t="s">
        <v>37</v>
      </c>
      <c r="C452" t="s">
        <v>38</v>
      </c>
      <c r="D452" t="s">
        <v>27</v>
      </c>
      <c r="E452" t="s">
        <v>42</v>
      </c>
      <c r="F452" t="s">
        <v>54</v>
      </c>
      <c r="G452">
        <v>26.55</v>
      </c>
      <c r="H452">
        <v>1</v>
      </c>
      <c r="I452">
        <v>1.33</v>
      </c>
      <c r="J452">
        <v>27.88</v>
      </c>
      <c r="K452" t="s">
        <v>124</v>
      </c>
      <c r="L452" t="s">
        <v>162</v>
      </c>
      <c r="M452" t="s">
        <v>35</v>
      </c>
      <c r="N452">
        <v>26.55</v>
      </c>
      <c r="O452">
        <v>4.7618999999999998</v>
      </c>
      <c r="P452">
        <v>1.33</v>
      </c>
      <c r="Q452">
        <v>9.6</v>
      </c>
      <c r="R452" s="8">
        <f t="shared" si="7"/>
        <v>43482</v>
      </c>
    </row>
    <row r="453" spans="1:18" x14ac:dyDescent="0.35">
      <c r="A453" t="s">
        <v>700</v>
      </c>
      <c r="B453" t="s">
        <v>18</v>
      </c>
      <c r="C453" t="s">
        <v>19</v>
      </c>
      <c r="D453" t="s">
        <v>20</v>
      </c>
      <c r="E453" t="s">
        <v>21</v>
      </c>
      <c r="F453" t="s">
        <v>54</v>
      </c>
      <c r="G453">
        <v>45.73</v>
      </c>
      <c r="H453">
        <v>2</v>
      </c>
      <c r="I453">
        <v>4.57</v>
      </c>
      <c r="J453">
        <v>96.03</v>
      </c>
      <c r="K453" t="s">
        <v>167</v>
      </c>
      <c r="L453" t="s">
        <v>66</v>
      </c>
      <c r="M453" t="s">
        <v>45</v>
      </c>
      <c r="N453">
        <v>91.46</v>
      </c>
      <c r="O453">
        <v>4.7618999999999998</v>
      </c>
      <c r="P453">
        <v>4.57</v>
      </c>
      <c r="Q453">
        <v>4.2</v>
      </c>
      <c r="R453" s="8">
        <f t="shared" si="7"/>
        <v>43474</v>
      </c>
    </row>
    <row r="454" spans="1:18" x14ac:dyDescent="0.35">
      <c r="A454" t="s">
        <v>701</v>
      </c>
      <c r="B454" t="s">
        <v>18</v>
      </c>
      <c r="C454" t="s">
        <v>19</v>
      </c>
      <c r="D454" t="s">
        <v>20</v>
      </c>
      <c r="E454" t="s">
        <v>21</v>
      </c>
      <c r="F454" t="s">
        <v>61</v>
      </c>
      <c r="G454">
        <v>65.63</v>
      </c>
      <c r="H454">
        <v>2</v>
      </c>
      <c r="I454">
        <v>6.56</v>
      </c>
      <c r="J454">
        <v>137.82</v>
      </c>
      <c r="K454" t="s">
        <v>276</v>
      </c>
      <c r="L454" t="s">
        <v>52</v>
      </c>
      <c r="M454" t="s">
        <v>45</v>
      </c>
      <c r="N454">
        <v>131.26</v>
      </c>
      <c r="O454">
        <v>4.7618999999999998</v>
      </c>
      <c r="P454">
        <v>6.56</v>
      </c>
      <c r="Q454">
        <v>5.5</v>
      </c>
      <c r="R454" s="8">
        <f t="shared" si="7"/>
        <v>43549</v>
      </c>
    </row>
    <row r="455" spans="1:18" x14ac:dyDescent="0.35">
      <c r="A455" t="s">
        <v>702</v>
      </c>
      <c r="B455" t="s">
        <v>37</v>
      </c>
      <c r="C455" t="s">
        <v>38</v>
      </c>
      <c r="D455" t="s">
        <v>20</v>
      </c>
      <c r="E455" t="s">
        <v>21</v>
      </c>
      <c r="F455" t="s">
        <v>50</v>
      </c>
      <c r="G455">
        <v>85.47</v>
      </c>
      <c r="H455">
        <v>1</v>
      </c>
      <c r="I455">
        <v>4.2699999999999996</v>
      </c>
      <c r="J455">
        <v>89.74</v>
      </c>
      <c r="K455" t="s">
        <v>231</v>
      </c>
      <c r="L455" t="s">
        <v>282</v>
      </c>
      <c r="M455" t="s">
        <v>35</v>
      </c>
      <c r="N455">
        <v>85.47</v>
      </c>
      <c r="O455">
        <v>4.7618999999999998</v>
      </c>
      <c r="P455">
        <v>4.2699999999999996</v>
      </c>
      <c r="Q455">
        <v>9.1999999999999993</v>
      </c>
      <c r="R455" s="8">
        <f t="shared" si="7"/>
        <v>43470</v>
      </c>
    </row>
    <row r="456" spans="1:18" x14ac:dyDescent="0.35">
      <c r="A456" t="s">
        <v>703</v>
      </c>
      <c r="B456" t="s">
        <v>18</v>
      </c>
      <c r="C456" t="s">
        <v>19</v>
      </c>
      <c r="D456" t="s">
        <v>27</v>
      </c>
      <c r="E456" t="s">
        <v>42</v>
      </c>
      <c r="F456" t="s">
        <v>54</v>
      </c>
      <c r="G456">
        <v>97.26</v>
      </c>
      <c r="H456">
        <v>9</v>
      </c>
      <c r="I456">
        <v>43.77</v>
      </c>
      <c r="J456">
        <v>919.11</v>
      </c>
      <c r="K456" t="s">
        <v>139</v>
      </c>
      <c r="L456" t="s">
        <v>184</v>
      </c>
      <c r="M456" t="s">
        <v>35</v>
      </c>
      <c r="N456">
        <v>875.34</v>
      </c>
      <c r="O456">
        <v>4.7618999999999998</v>
      </c>
      <c r="P456">
        <v>43.77</v>
      </c>
      <c r="Q456">
        <v>7.8</v>
      </c>
      <c r="R456" s="8">
        <f t="shared" si="7"/>
        <v>43488</v>
      </c>
    </row>
    <row r="457" spans="1:18" x14ac:dyDescent="0.35">
      <c r="A457" t="s">
        <v>704</v>
      </c>
      <c r="B457" t="s">
        <v>18</v>
      </c>
      <c r="C457" t="s">
        <v>19</v>
      </c>
      <c r="D457" t="s">
        <v>27</v>
      </c>
      <c r="E457" t="s">
        <v>42</v>
      </c>
      <c r="F457" t="s">
        <v>61</v>
      </c>
      <c r="G457">
        <v>53.35</v>
      </c>
      <c r="H457">
        <v>4</v>
      </c>
      <c r="I457">
        <v>10.67</v>
      </c>
      <c r="J457">
        <v>224.07</v>
      </c>
      <c r="K457" t="s">
        <v>96</v>
      </c>
      <c r="L457" t="s">
        <v>100</v>
      </c>
      <c r="M457" t="s">
        <v>35</v>
      </c>
      <c r="N457">
        <v>213.4</v>
      </c>
      <c r="O457">
        <v>4.7618999999999998</v>
      </c>
      <c r="P457">
        <v>10.67</v>
      </c>
      <c r="Q457">
        <v>6.5</v>
      </c>
      <c r="R457" s="8">
        <f t="shared" si="7"/>
        <v>43477</v>
      </c>
    </row>
    <row r="458" spans="1:18" x14ac:dyDescent="0.35">
      <c r="A458" t="s">
        <v>705</v>
      </c>
      <c r="B458" t="s">
        <v>37</v>
      </c>
      <c r="C458" t="s">
        <v>38</v>
      </c>
      <c r="D458" t="s">
        <v>20</v>
      </c>
      <c r="E458" t="s">
        <v>21</v>
      </c>
      <c r="F458" t="s">
        <v>50</v>
      </c>
      <c r="G458">
        <v>83.38</v>
      </c>
      <c r="H458">
        <v>3</v>
      </c>
      <c r="I458">
        <v>12.51</v>
      </c>
      <c r="J458">
        <v>262.64999999999998</v>
      </c>
      <c r="K458" t="s">
        <v>315</v>
      </c>
      <c r="L458" t="s">
        <v>94</v>
      </c>
      <c r="M458" t="s">
        <v>25</v>
      </c>
      <c r="N458">
        <v>250.14</v>
      </c>
      <c r="O458">
        <v>4.7618999999999998</v>
      </c>
      <c r="P458">
        <v>12.51</v>
      </c>
      <c r="Q458">
        <v>4</v>
      </c>
      <c r="R458" s="8">
        <f t="shared" si="7"/>
        <v>43510</v>
      </c>
    </row>
    <row r="459" spans="1:18" x14ac:dyDescent="0.35">
      <c r="A459" t="s">
        <v>706</v>
      </c>
      <c r="B459" t="s">
        <v>37</v>
      </c>
      <c r="C459" t="s">
        <v>38</v>
      </c>
      <c r="D459" t="s">
        <v>27</v>
      </c>
      <c r="E459" t="s">
        <v>21</v>
      </c>
      <c r="F459" t="s">
        <v>32</v>
      </c>
      <c r="G459">
        <v>81.819999999999993</v>
      </c>
      <c r="H459">
        <v>10</v>
      </c>
      <c r="I459">
        <v>40.909999999999997</v>
      </c>
      <c r="J459">
        <v>859.11</v>
      </c>
      <c r="K459" t="s">
        <v>253</v>
      </c>
      <c r="L459" t="s">
        <v>158</v>
      </c>
      <c r="M459" t="s">
        <v>35</v>
      </c>
      <c r="N459">
        <v>818.2</v>
      </c>
      <c r="O459">
        <v>4.7618999999999998</v>
      </c>
      <c r="P459">
        <v>40.909999999999997</v>
      </c>
      <c r="Q459">
        <v>5.0999999999999996</v>
      </c>
      <c r="R459" s="8">
        <f t="shared" si="7"/>
        <v>43495</v>
      </c>
    </row>
    <row r="460" spans="1:18" x14ac:dyDescent="0.35">
      <c r="A460" t="s">
        <v>707</v>
      </c>
      <c r="B460" t="s">
        <v>37</v>
      </c>
      <c r="C460" t="s">
        <v>38</v>
      </c>
      <c r="D460" t="s">
        <v>27</v>
      </c>
      <c r="E460" t="s">
        <v>21</v>
      </c>
      <c r="F460" t="s">
        <v>54</v>
      </c>
      <c r="G460">
        <v>74.34</v>
      </c>
      <c r="H460">
        <v>7</v>
      </c>
      <c r="I460">
        <v>26.02</v>
      </c>
      <c r="J460">
        <v>546.4</v>
      </c>
      <c r="K460" t="s">
        <v>425</v>
      </c>
      <c r="L460" t="s">
        <v>200</v>
      </c>
      <c r="M460" t="s">
        <v>45</v>
      </c>
      <c r="N460">
        <v>520.38</v>
      </c>
      <c r="O460">
        <v>4.7618999999999998</v>
      </c>
      <c r="P460">
        <v>26.02</v>
      </c>
      <c r="Q460">
        <v>6.5</v>
      </c>
      <c r="R460" s="8">
        <f t="shared" si="7"/>
        <v>43514</v>
      </c>
    </row>
    <row r="461" spans="1:18" x14ac:dyDescent="0.35">
      <c r="A461" t="s">
        <v>708</v>
      </c>
      <c r="B461" t="s">
        <v>18</v>
      </c>
      <c r="C461" t="s">
        <v>19</v>
      </c>
      <c r="D461" t="s">
        <v>27</v>
      </c>
      <c r="E461" t="s">
        <v>42</v>
      </c>
      <c r="F461" t="s">
        <v>22</v>
      </c>
      <c r="G461">
        <v>76.86</v>
      </c>
      <c r="H461">
        <v>5</v>
      </c>
      <c r="I461">
        <v>19.22</v>
      </c>
      <c r="J461">
        <v>403.52</v>
      </c>
      <c r="K461" t="s">
        <v>130</v>
      </c>
      <c r="L461" t="s">
        <v>212</v>
      </c>
      <c r="M461" t="s">
        <v>45</v>
      </c>
      <c r="N461">
        <v>384.3</v>
      </c>
      <c r="O461">
        <v>4.7618999999999998</v>
      </c>
      <c r="P461">
        <v>19.22</v>
      </c>
      <c r="Q461">
        <v>4.8</v>
      </c>
      <c r="R461" s="8">
        <f t="shared" si="7"/>
        <v>43518</v>
      </c>
    </row>
    <row r="462" spans="1:18" x14ac:dyDescent="0.35">
      <c r="A462" t="s">
        <v>709</v>
      </c>
      <c r="B462" t="s">
        <v>18</v>
      </c>
      <c r="C462" t="s">
        <v>19</v>
      </c>
      <c r="D462" t="s">
        <v>27</v>
      </c>
      <c r="E462" t="s">
        <v>42</v>
      </c>
      <c r="F462" t="s">
        <v>61</v>
      </c>
      <c r="G462">
        <v>73.040000000000006</v>
      </c>
      <c r="H462">
        <v>8</v>
      </c>
      <c r="I462">
        <v>29.22</v>
      </c>
      <c r="J462">
        <v>613.54</v>
      </c>
      <c r="K462" t="s">
        <v>87</v>
      </c>
      <c r="L462" t="s">
        <v>255</v>
      </c>
      <c r="M462" t="s">
        <v>45</v>
      </c>
      <c r="N462">
        <v>584.32000000000005</v>
      </c>
      <c r="O462">
        <v>4.7618999999999998</v>
      </c>
      <c r="P462">
        <v>29.22</v>
      </c>
      <c r="Q462">
        <v>4.3</v>
      </c>
      <c r="R462" s="8">
        <f t="shared" si="7"/>
        <v>43490</v>
      </c>
    </row>
    <row r="463" spans="1:18" x14ac:dyDescent="0.35">
      <c r="A463" t="s">
        <v>710</v>
      </c>
      <c r="B463" t="s">
        <v>68</v>
      </c>
      <c r="C463" t="s">
        <v>69</v>
      </c>
      <c r="D463" t="s">
        <v>20</v>
      </c>
      <c r="E463" t="s">
        <v>21</v>
      </c>
      <c r="F463" t="s">
        <v>61</v>
      </c>
      <c r="G463">
        <v>34.229999999999997</v>
      </c>
      <c r="H463">
        <v>8</v>
      </c>
      <c r="I463">
        <v>13.69</v>
      </c>
      <c r="J463">
        <v>287.52999999999997</v>
      </c>
      <c r="K463" t="s">
        <v>415</v>
      </c>
      <c r="L463" t="s">
        <v>212</v>
      </c>
      <c r="M463" t="s">
        <v>45</v>
      </c>
      <c r="N463">
        <v>273.83999999999997</v>
      </c>
      <c r="O463">
        <v>4.7618999999999998</v>
      </c>
      <c r="P463">
        <v>13.69</v>
      </c>
      <c r="Q463">
        <v>4.0999999999999996</v>
      </c>
      <c r="R463" s="8">
        <f t="shared" si="7"/>
        <v>43467</v>
      </c>
    </row>
    <row r="464" spans="1:18" x14ac:dyDescent="0.35">
      <c r="A464" t="s">
        <v>711</v>
      </c>
      <c r="B464" t="s">
        <v>37</v>
      </c>
      <c r="C464" t="s">
        <v>38</v>
      </c>
      <c r="D464" t="s">
        <v>27</v>
      </c>
      <c r="E464" t="s">
        <v>42</v>
      </c>
      <c r="F464" t="s">
        <v>32</v>
      </c>
      <c r="G464">
        <v>99.82</v>
      </c>
      <c r="H464">
        <v>8</v>
      </c>
      <c r="I464">
        <v>39.93</v>
      </c>
      <c r="J464">
        <v>838.49</v>
      </c>
      <c r="K464" t="s">
        <v>231</v>
      </c>
      <c r="L464" t="s">
        <v>270</v>
      </c>
      <c r="M464" t="s">
        <v>45</v>
      </c>
      <c r="N464">
        <v>798.56</v>
      </c>
      <c r="O464">
        <v>4.7618999999999998</v>
      </c>
      <c r="P464">
        <v>39.93</v>
      </c>
      <c r="Q464">
        <v>4.3</v>
      </c>
      <c r="R464" s="8">
        <f t="shared" si="7"/>
        <v>43470</v>
      </c>
    </row>
    <row r="465" spans="1:18" x14ac:dyDescent="0.35">
      <c r="A465" t="s">
        <v>712</v>
      </c>
      <c r="B465" t="s">
        <v>37</v>
      </c>
      <c r="C465" t="s">
        <v>38</v>
      </c>
      <c r="D465" t="s">
        <v>20</v>
      </c>
      <c r="E465" t="s">
        <v>42</v>
      </c>
      <c r="F465" t="s">
        <v>54</v>
      </c>
      <c r="G465">
        <v>27.3</v>
      </c>
      <c r="H465">
        <v>5</v>
      </c>
      <c r="I465">
        <v>6.83</v>
      </c>
      <c r="J465">
        <v>143.33000000000001</v>
      </c>
      <c r="K465" t="s">
        <v>425</v>
      </c>
      <c r="L465" t="s">
        <v>122</v>
      </c>
      <c r="M465" t="s">
        <v>25</v>
      </c>
      <c r="N465">
        <v>136.5</v>
      </c>
      <c r="O465">
        <v>4.7618999999999998</v>
      </c>
      <c r="P465">
        <v>6.83</v>
      </c>
      <c r="Q465">
        <v>5.5</v>
      </c>
      <c r="R465" s="8">
        <f t="shared" si="7"/>
        <v>43514</v>
      </c>
    </row>
    <row r="466" spans="1:18" x14ac:dyDescent="0.35">
      <c r="A466" t="s">
        <v>713</v>
      </c>
      <c r="B466" t="s">
        <v>37</v>
      </c>
      <c r="C466" t="s">
        <v>38</v>
      </c>
      <c r="D466" t="s">
        <v>20</v>
      </c>
      <c r="E466" t="s">
        <v>21</v>
      </c>
      <c r="F466" t="s">
        <v>54</v>
      </c>
      <c r="G466">
        <v>51.48</v>
      </c>
      <c r="H466">
        <v>2</v>
      </c>
      <c r="I466">
        <v>5.15</v>
      </c>
      <c r="J466">
        <v>108.11</v>
      </c>
      <c r="K466" t="s">
        <v>339</v>
      </c>
      <c r="L466" t="s">
        <v>377</v>
      </c>
      <c r="M466" t="s">
        <v>35</v>
      </c>
      <c r="N466">
        <v>102.96</v>
      </c>
      <c r="O466">
        <v>4.7618999999999998</v>
      </c>
      <c r="P466">
        <v>5.15</v>
      </c>
      <c r="Q466">
        <v>6.3</v>
      </c>
      <c r="R466" s="8">
        <f t="shared" si="7"/>
        <v>43532</v>
      </c>
    </row>
    <row r="467" spans="1:18" x14ac:dyDescent="0.35">
      <c r="A467" t="s">
        <v>714</v>
      </c>
      <c r="B467" t="s">
        <v>37</v>
      </c>
      <c r="C467" t="s">
        <v>38</v>
      </c>
      <c r="D467" t="s">
        <v>20</v>
      </c>
      <c r="E467" t="s">
        <v>21</v>
      </c>
      <c r="F467" t="s">
        <v>22</v>
      </c>
      <c r="G467">
        <v>94.37</v>
      </c>
      <c r="H467">
        <v>9</v>
      </c>
      <c r="I467">
        <v>42.47</v>
      </c>
      <c r="J467">
        <v>891.8</v>
      </c>
      <c r="K467" t="s">
        <v>187</v>
      </c>
      <c r="L467" t="s">
        <v>94</v>
      </c>
      <c r="M467" t="s">
        <v>25</v>
      </c>
      <c r="N467">
        <v>849.33</v>
      </c>
      <c r="O467">
        <v>4.7618999999999998</v>
      </c>
      <c r="P467">
        <v>42.47</v>
      </c>
      <c r="Q467">
        <v>5.8</v>
      </c>
      <c r="R467" s="8">
        <f t="shared" si="7"/>
        <v>43481</v>
      </c>
    </row>
    <row r="468" spans="1:18" x14ac:dyDescent="0.35">
      <c r="A468" t="s">
        <v>715</v>
      </c>
      <c r="B468" t="s">
        <v>68</v>
      </c>
      <c r="C468" t="s">
        <v>69</v>
      </c>
      <c r="D468" t="s">
        <v>20</v>
      </c>
      <c r="E468" t="s">
        <v>21</v>
      </c>
      <c r="F468" t="s">
        <v>54</v>
      </c>
      <c r="G468">
        <v>66.959999999999994</v>
      </c>
      <c r="H468">
        <v>6</v>
      </c>
      <c r="I468">
        <v>20.09</v>
      </c>
      <c r="J468">
        <v>421.85</v>
      </c>
      <c r="K468" t="s">
        <v>415</v>
      </c>
      <c r="L468" t="s">
        <v>117</v>
      </c>
      <c r="M468" t="s">
        <v>25</v>
      </c>
      <c r="N468">
        <v>401.76</v>
      </c>
      <c r="O468">
        <v>4.7618999999999998</v>
      </c>
      <c r="P468">
        <v>20.09</v>
      </c>
      <c r="Q468">
        <v>4.7</v>
      </c>
      <c r="R468" s="8">
        <f t="shared" si="7"/>
        <v>43467</v>
      </c>
    </row>
    <row r="469" spans="1:18" x14ac:dyDescent="0.35">
      <c r="A469" t="s">
        <v>716</v>
      </c>
      <c r="B469" t="s">
        <v>68</v>
      </c>
      <c r="C469" t="s">
        <v>69</v>
      </c>
      <c r="D469" t="s">
        <v>20</v>
      </c>
      <c r="E469" t="s">
        <v>21</v>
      </c>
      <c r="F469" t="s">
        <v>50</v>
      </c>
      <c r="G469">
        <v>80.510000000000005</v>
      </c>
      <c r="H469">
        <v>8</v>
      </c>
      <c r="I469">
        <v>32.200000000000003</v>
      </c>
      <c r="J469">
        <v>676.28</v>
      </c>
      <c r="K469" t="s">
        <v>470</v>
      </c>
      <c r="L469" t="s">
        <v>380</v>
      </c>
      <c r="M469" t="s">
        <v>35</v>
      </c>
      <c r="N469">
        <v>644.08000000000004</v>
      </c>
      <c r="O469">
        <v>4.7618999999999998</v>
      </c>
      <c r="P469">
        <v>32.200000000000003</v>
      </c>
      <c r="Q469">
        <v>8.6</v>
      </c>
      <c r="R469" s="8">
        <f t="shared" si="7"/>
        <v>43554</v>
      </c>
    </row>
    <row r="470" spans="1:18" x14ac:dyDescent="0.35">
      <c r="A470" t="s">
        <v>717</v>
      </c>
      <c r="B470" t="s">
        <v>68</v>
      </c>
      <c r="C470" t="s">
        <v>69</v>
      </c>
      <c r="D470" t="s">
        <v>27</v>
      </c>
      <c r="E470" t="s">
        <v>21</v>
      </c>
      <c r="F470" t="s">
        <v>22</v>
      </c>
      <c r="G470">
        <v>65.680000000000007</v>
      </c>
      <c r="H470">
        <v>1</v>
      </c>
      <c r="I470">
        <v>3.28</v>
      </c>
      <c r="J470">
        <v>68.959999999999994</v>
      </c>
      <c r="K470" t="s">
        <v>90</v>
      </c>
      <c r="L470" t="s">
        <v>146</v>
      </c>
      <c r="M470" t="s">
        <v>45</v>
      </c>
      <c r="N470">
        <v>65.680000000000007</v>
      </c>
      <c r="O470">
        <v>4.7618999999999998</v>
      </c>
      <c r="P470">
        <v>3.28</v>
      </c>
      <c r="Q470">
        <v>8.1999999999999993</v>
      </c>
      <c r="R470" s="8">
        <f t="shared" si="7"/>
        <v>43473</v>
      </c>
    </row>
    <row r="471" spans="1:18" x14ac:dyDescent="0.35">
      <c r="A471" t="s">
        <v>718</v>
      </c>
      <c r="B471" t="s">
        <v>68</v>
      </c>
      <c r="C471" t="s">
        <v>69</v>
      </c>
      <c r="D471" t="s">
        <v>20</v>
      </c>
      <c r="E471" t="s">
        <v>42</v>
      </c>
      <c r="F471" t="s">
        <v>54</v>
      </c>
      <c r="G471">
        <v>38.51</v>
      </c>
      <c r="H471">
        <v>9</v>
      </c>
      <c r="I471">
        <v>17.329999999999998</v>
      </c>
      <c r="J471">
        <v>363.92</v>
      </c>
      <c r="K471" t="s">
        <v>439</v>
      </c>
      <c r="L471" t="s">
        <v>160</v>
      </c>
      <c r="M471" t="s">
        <v>25</v>
      </c>
      <c r="N471">
        <v>346.59</v>
      </c>
      <c r="O471">
        <v>4.7618999999999998</v>
      </c>
      <c r="P471">
        <v>17.329999999999998</v>
      </c>
      <c r="Q471">
        <v>5.2</v>
      </c>
      <c r="R471" s="8">
        <f t="shared" si="7"/>
        <v>43548</v>
      </c>
    </row>
    <row r="472" spans="1:18" x14ac:dyDescent="0.35">
      <c r="A472" t="s">
        <v>719</v>
      </c>
      <c r="B472" t="s">
        <v>37</v>
      </c>
      <c r="C472" t="s">
        <v>38</v>
      </c>
      <c r="D472" t="s">
        <v>27</v>
      </c>
      <c r="E472" t="s">
        <v>21</v>
      </c>
      <c r="F472" t="s">
        <v>61</v>
      </c>
      <c r="G472">
        <v>90.88</v>
      </c>
      <c r="H472">
        <v>8</v>
      </c>
      <c r="I472">
        <v>36.35</v>
      </c>
      <c r="J472">
        <v>763.39</v>
      </c>
      <c r="K472" t="s">
        <v>291</v>
      </c>
      <c r="L472" t="s">
        <v>241</v>
      </c>
      <c r="M472" t="s">
        <v>25</v>
      </c>
      <c r="N472">
        <v>727.04</v>
      </c>
      <c r="O472">
        <v>4.7618999999999998</v>
      </c>
      <c r="P472">
        <v>36.35</v>
      </c>
      <c r="Q472">
        <v>8.1999999999999993</v>
      </c>
      <c r="R472" s="8">
        <f t="shared" si="7"/>
        <v>43522</v>
      </c>
    </row>
    <row r="473" spans="1:18" x14ac:dyDescent="0.35">
      <c r="A473" t="s">
        <v>720</v>
      </c>
      <c r="B473" t="s">
        <v>18</v>
      </c>
      <c r="C473" t="s">
        <v>19</v>
      </c>
      <c r="D473" t="s">
        <v>20</v>
      </c>
      <c r="E473" t="s">
        <v>42</v>
      </c>
      <c r="F473" t="s">
        <v>61</v>
      </c>
      <c r="G473">
        <v>75.92</v>
      </c>
      <c r="H473">
        <v>5</v>
      </c>
      <c r="I473">
        <v>18.98</v>
      </c>
      <c r="J473">
        <v>398.58</v>
      </c>
      <c r="K473" t="s">
        <v>65</v>
      </c>
      <c r="L473" t="s">
        <v>372</v>
      </c>
      <c r="M473" t="s">
        <v>45</v>
      </c>
      <c r="N473">
        <v>379.6</v>
      </c>
      <c r="O473">
        <v>4.7618999999999998</v>
      </c>
      <c r="P473">
        <v>18.98</v>
      </c>
      <c r="Q473">
        <v>7.2</v>
      </c>
      <c r="R473" s="8">
        <f t="shared" si="7"/>
        <v>43542</v>
      </c>
    </row>
    <row r="474" spans="1:18" x14ac:dyDescent="0.35">
      <c r="A474" t="s">
        <v>721</v>
      </c>
      <c r="B474" t="s">
        <v>37</v>
      </c>
      <c r="C474" t="s">
        <v>38</v>
      </c>
      <c r="D474" t="s">
        <v>27</v>
      </c>
      <c r="E474" t="s">
        <v>42</v>
      </c>
      <c r="F474" t="s">
        <v>32</v>
      </c>
      <c r="G474">
        <v>10.06</v>
      </c>
      <c r="H474">
        <v>9</v>
      </c>
      <c r="I474">
        <v>4.53</v>
      </c>
      <c r="J474">
        <v>95.07</v>
      </c>
      <c r="K474" t="s">
        <v>425</v>
      </c>
      <c r="L474" t="s">
        <v>154</v>
      </c>
      <c r="M474" t="s">
        <v>25</v>
      </c>
      <c r="N474">
        <v>90.54</v>
      </c>
      <c r="O474">
        <v>4.7618999999999998</v>
      </c>
      <c r="P474">
        <v>4.53</v>
      </c>
      <c r="Q474">
        <v>9.1</v>
      </c>
      <c r="R474" s="8">
        <f t="shared" si="7"/>
        <v>43514</v>
      </c>
    </row>
    <row r="475" spans="1:18" x14ac:dyDescent="0.35">
      <c r="A475" t="s">
        <v>722</v>
      </c>
      <c r="B475" t="s">
        <v>18</v>
      </c>
      <c r="C475" t="s">
        <v>19</v>
      </c>
      <c r="D475" t="s">
        <v>20</v>
      </c>
      <c r="E475" t="s">
        <v>42</v>
      </c>
      <c r="F475" t="s">
        <v>22</v>
      </c>
      <c r="G475">
        <v>15.7</v>
      </c>
      <c r="H475">
        <v>9</v>
      </c>
      <c r="I475">
        <v>7.07</v>
      </c>
      <c r="J475">
        <v>148.37</v>
      </c>
      <c r="K475" t="s">
        <v>142</v>
      </c>
      <c r="L475" t="s">
        <v>432</v>
      </c>
      <c r="M475" t="s">
        <v>25</v>
      </c>
      <c r="N475">
        <v>141.30000000000001</v>
      </c>
      <c r="O475">
        <v>4.7618999999999998</v>
      </c>
      <c r="P475">
        <v>7.07</v>
      </c>
      <c r="Q475">
        <v>7</v>
      </c>
      <c r="R475" s="8">
        <f t="shared" si="7"/>
        <v>43515</v>
      </c>
    </row>
    <row r="476" spans="1:18" x14ac:dyDescent="0.35">
      <c r="A476" t="s">
        <v>723</v>
      </c>
      <c r="B476" t="s">
        <v>68</v>
      </c>
      <c r="C476" t="s">
        <v>69</v>
      </c>
      <c r="D476" t="s">
        <v>27</v>
      </c>
      <c r="E476" t="s">
        <v>42</v>
      </c>
      <c r="F476" t="s">
        <v>32</v>
      </c>
      <c r="G476">
        <v>67.680000000000007</v>
      </c>
      <c r="H476">
        <v>2</v>
      </c>
      <c r="I476">
        <v>6.77</v>
      </c>
      <c r="J476">
        <v>142.13</v>
      </c>
      <c r="K476" t="s">
        <v>405</v>
      </c>
      <c r="L476" t="s">
        <v>227</v>
      </c>
      <c r="M476" t="s">
        <v>45</v>
      </c>
      <c r="N476">
        <v>135.36000000000001</v>
      </c>
      <c r="O476">
        <v>4.7618999999999998</v>
      </c>
      <c r="P476">
        <v>6.77</v>
      </c>
      <c r="Q476">
        <v>4.3</v>
      </c>
      <c r="R476" s="8">
        <f t="shared" si="7"/>
        <v>43478</v>
      </c>
    </row>
    <row r="477" spans="1:18" x14ac:dyDescent="0.35">
      <c r="A477" t="s">
        <v>724</v>
      </c>
      <c r="B477" t="s">
        <v>68</v>
      </c>
      <c r="C477" t="s">
        <v>69</v>
      </c>
      <c r="D477" t="s">
        <v>20</v>
      </c>
      <c r="E477" t="s">
        <v>21</v>
      </c>
      <c r="F477" t="s">
        <v>28</v>
      </c>
      <c r="G477">
        <v>53.68</v>
      </c>
      <c r="H477">
        <v>2</v>
      </c>
      <c r="I477">
        <v>5.37</v>
      </c>
      <c r="J477">
        <v>112.73</v>
      </c>
      <c r="K477" t="s">
        <v>231</v>
      </c>
      <c r="L477" t="s">
        <v>114</v>
      </c>
      <c r="M477" t="s">
        <v>35</v>
      </c>
      <c r="N477">
        <v>107.36</v>
      </c>
      <c r="O477">
        <v>4.7618999999999998</v>
      </c>
      <c r="P477">
        <v>5.37</v>
      </c>
      <c r="Q477">
        <v>7.9</v>
      </c>
      <c r="R477" s="8">
        <f t="shared" si="7"/>
        <v>43470</v>
      </c>
    </row>
    <row r="478" spans="1:18" x14ac:dyDescent="0.35">
      <c r="A478" t="s">
        <v>725</v>
      </c>
      <c r="B478" t="s">
        <v>18</v>
      </c>
      <c r="C478" t="s">
        <v>19</v>
      </c>
      <c r="D478" t="s">
        <v>27</v>
      </c>
      <c r="E478" t="s">
        <v>21</v>
      </c>
      <c r="F478" t="s">
        <v>61</v>
      </c>
      <c r="G478">
        <v>29.87</v>
      </c>
      <c r="H478">
        <v>2</v>
      </c>
      <c r="I478">
        <v>2.99</v>
      </c>
      <c r="J478">
        <v>62.73</v>
      </c>
      <c r="K478" t="s">
        <v>415</v>
      </c>
      <c r="L478" t="s">
        <v>162</v>
      </c>
      <c r="M478" t="s">
        <v>35</v>
      </c>
      <c r="N478">
        <v>59.74</v>
      </c>
      <c r="O478">
        <v>4.7618999999999998</v>
      </c>
      <c r="P478">
        <v>2.99</v>
      </c>
      <c r="Q478">
        <v>9.6</v>
      </c>
      <c r="R478" s="8">
        <f t="shared" si="7"/>
        <v>43467</v>
      </c>
    </row>
    <row r="479" spans="1:18" x14ac:dyDescent="0.35">
      <c r="A479" t="s">
        <v>726</v>
      </c>
      <c r="B479" t="s">
        <v>68</v>
      </c>
      <c r="C479" t="s">
        <v>69</v>
      </c>
      <c r="D479" t="s">
        <v>27</v>
      </c>
      <c r="E479" t="s">
        <v>21</v>
      </c>
      <c r="F479" t="s">
        <v>61</v>
      </c>
      <c r="G479">
        <v>60.22</v>
      </c>
      <c r="H479">
        <v>7</v>
      </c>
      <c r="I479">
        <v>21.08</v>
      </c>
      <c r="J479">
        <v>442.62</v>
      </c>
      <c r="K479" t="s">
        <v>320</v>
      </c>
      <c r="L479" t="s">
        <v>207</v>
      </c>
      <c r="M479" t="s">
        <v>35</v>
      </c>
      <c r="N479">
        <v>421.54</v>
      </c>
      <c r="O479">
        <v>4.7618999999999998</v>
      </c>
      <c r="P479">
        <v>21.08</v>
      </c>
      <c r="Q479">
        <v>7.2</v>
      </c>
      <c r="R479" s="8">
        <f t="shared" si="7"/>
        <v>43513</v>
      </c>
    </row>
    <row r="480" spans="1:18" x14ac:dyDescent="0.35">
      <c r="A480" t="s">
        <v>727</v>
      </c>
      <c r="B480" t="s">
        <v>68</v>
      </c>
      <c r="C480" t="s">
        <v>69</v>
      </c>
      <c r="D480" t="s">
        <v>27</v>
      </c>
      <c r="E480" t="s">
        <v>21</v>
      </c>
      <c r="F480" t="s">
        <v>54</v>
      </c>
      <c r="G480">
        <v>96.45</v>
      </c>
      <c r="H480">
        <v>2</v>
      </c>
      <c r="I480">
        <v>9.65</v>
      </c>
      <c r="J480">
        <v>202.55</v>
      </c>
      <c r="K480" t="s">
        <v>405</v>
      </c>
      <c r="L480" t="s">
        <v>432</v>
      </c>
      <c r="M480" t="s">
        <v>35</v>
      </c>
      <c r="N480">
        <v>192.9</v>
      </c>
      <c r="O480">
        <v>4.7618999999999998</v>
      </c>
      <c r="P480">
        <v>9.65</v>
      </c>
      <c r="Q480">
        <v>5.0999999999999996</v>
      </c>
      <c r="R480" s="8">
        <f t="shared" si="7"/>
        <v>43478</v>
      </c>
    </row>
    <row r="481" spans="1:18" x14ac:dyDescent="0.35">
      <c r="A481" t="s">
        <v>728</v>
      </c>
      <c r="B481" t="s">
        <v>18</v>
      </c>
      <c r="C481" t="s">
        <v>19</v>
      </c>
      <c r="D481" t="s">
        <v>20</v>
      </c>
      <c r="E481" t="s">
        <v>21</v>
      </c>
      <c r="F481" t="s">
        <v>50</v>
      </c>
      <c r="G481">
        <v>77.430000000000007</v>
      </c>
      <c r="H481">
        <v>7</v>
      </c>
      <c r="I481">
        <v>27.1</v>
      </c>
      <c r="J481">
        <v>569.11</v>
      </c>
      <c r="K481" t="s">
        <v>189</v>
      </c>
      <c r="L481" t="s">
        <v>375</v>
      </c>
      <c r="M481" t="s">
        <v>35</v>
      </c>
      <c r="N481">
        <v>542.01</v>
      </c>
      <c r="O481">
        <v>4.7618999999999998</v>
      </c>
      <c r="P481">
        <v>27.1</v>
      </c>
      <c r="Q481">
        <v>8</v>
      </c>
      <c r="R481" s="8">
        <f t="shared" si="7"/>
        <v>43479</v>
      </c>
    </row>
    <row r="482" spans="1:18" x14ac:dyDescent="0.35">
      <c r="A482" t="s">
        <v>729</v>
      </c>
      <c r="B482" t="s">
        <v>18</v>
      </c>
      <c r="C482" t="s">
        <v>19</v>
      </c>
      <c r="D482" t="s">
        <v>27</v>
      </c>
      <c r="E482" t="s">
        <v>21</v>
      </c>
      <c r="F482" t="s">
        <v>54</v>
      </c>
      <c r="G482">
        <v>81.319999999999993</v>
      </c>
      <c r="H482">
        <v>9</v>
      </c>
      <c r="I482">
        <v>36.590000000000003</v>
      </c>
      <c r="J482">
        <v>768.47</v>
      </c>
      <c r="K482" t="s">
        <v>55</v>
      </c>
      <c r="L482" t="s">
        <v>297</v>
      </c>
      <c r="M482" t="s">
        <v>25</v>
      </c>
      <c r="N482">
        <v>731.88</v>
      </c>
      <c r="O482">
        <v>4.7618999999999998</v>
      </c>
      <c r="P482">
        <v>36.590000000000003</v>
      </c>
      <c r="Q482">
        <v>4.9000000000000004</v>
      </c>
      <c r="R482" s="8">
        <f t="shared" si="7"/>
        <v>43517</v>
      </c>
    </row>
    <row r="483" spans="1:18" x14ac:dyDescent="0.35">
      <c r="A483" t="s">
        <v>730</v>
      </c>
      <c r="B483" t="s">
        <v>37</v>
      </c>
      <c r="C483" t="s">
        <v>38</v>
      </c>
      <c r="D483" t="s">
        <v>27</v>
      </c>
      <c r="E483" t="s">
        <v>42</v>
      </c>
      <c r="F483" t="s">
        <v>50</v>
      </c>
      <c r="G483">
        <v>99.23</v>
      </c>
      <c r="H483">
        <v>6</v>
      </c>
      <c r="I483">
        <v>29.77</v>
      </c>
      <c r="J483">
        <v>625.15</v>
      </c>
      <c r="K483" t="s">
        <v>320</v>
      </c>
      <c r="L483" t="s">
        <v>80</v>
      </c>
      <c r="M483" t="s">
        <v>35</v>
      </c>
      <c r="N483">
        <v>595.38</v>
      </c>
      <c r="O483">
        <v>4.7618999999999998</v>
      </c>
      <c r="P483">
        <v>29.77</v>
      </c>
      <c r="Q483">
        <v>9</v>
      </c>
      <c r="R483" s="8">
        <f t="shared" si="7"/>
        <v>43513</v>
      </c>
    </row>
    <row r="484" spans="1:18" x14ac:dyDescent="0.35">
      <c r="A484" t="s">
        <v>731</v>
      </c>
      <c r="B484" t="s">
        <v>18</v>
      </c>
      <c r="C484" t="s">
        <v>19</v>
      </c>
      <c r="D484" t="s">
        <v>20</v>
      </c>
      <c r="E484" t="s">
        <v>21</v>
      </c>
      <c r="F484" t="s">
        <v>32</v>
      </c>
      <c r="G484">
        <v>78.91</v>
      </c>
      <c r="H484">
        <v>5</v>
      </c>
      <c r="I484">
        <v>19.73</v>
      </c>
      <c r="J484">
        <v>414.28</v>
      </c>
      <c r="K484" t="s">
        <v>233</v>
      </c>
      <c r="L484" t="s">
        <v>732</v>
      </c>
      <c r="M484" t="s">
        <v>35</v>
      </c>
      <c r="N484">
        <v>394.55</v>
      </c>
      <c r="O484">
        <v>4.7618999999999998</v>
      </c>
      <c r="P484">
        <v>19.73</v>
      </c>
      <c r="Q484">
        <v>4</v>
      </c>
      <c r="R484" s="8">
        <f t="shared" si="7"/>
        <v>43512</v>
      </c>
    </row>
    <row r="485" spans="1:18" x14ac:dyDescent="0.35">
      <c r="A485" t="s">
        <v>733</v>
      </c>
      <c r="B485" t="s">
        <v>37</v>
      </c>
      <c r="C485" t="s">
        <v>38</v>
      </c>
      <c r="D485" t="s">
        <v>20</v>
      </c>
      <c r="E485" t="s">
        <v>21</v>
      </c>
      <c r="F485" t="s">
        <v>61</v>
      </c>
      <c r="G485">
        <v>10.59</v>
      </c>
      <c r="H485">
        <v>4</v>
      </c>
      <c r="I485">
        <v>2.12</v>
      </c>
      <c r="J485">
        <v>44.48</v>
      </c>
      <c r="K485" t="s">
        <v>330</v>
      </c>
      <c r="L485" t="s">
        <v>255</v>
      </c>
      <c r="M485" t="s">
        <v>25</v>
      </c>
      <c r="N485">
        <v>42.36</v>
      </c>
      <c r="O485">
        <v>4.7618999999999998</v>
      </c>
      <c r="P485">
        <v>2.12</v>
      </c>
      <c r="Q485">
        <v>8.9</v>
      </c>
      <c r="R485" s="8">
        <f t="shared" si="7"/>
        <v>43493</v>
      </c>
    </row>
    <row r="486" spans="1:18" x14ac:dyDescent="0.35">
      <c r="A486" t="s">
        <v>734</v>
      </c>
      <c r="B486" t="s">
        <v>18</v>
      </c>
      <c r="C486" t="s">
        <v>19</v>
      </c>
      <c r="D486" t="s">
        <v>20</v>
      </c>
      <c r="E486" t="s">
        <v>21</v>
      </c>
      <c r="F486" t="s">
        <v>28</v>
      </c>
      <c r="G486">
        <v>51.43</v>
      </c>
      <c r="H486">
        <v>3</v>
      </c>
      <c r="I486">
        <v>7.71</v>
      </c>
      <c r="J486">
        <v>162</v>
      </c>
      <c r="K486" t="s">
        <v>23</v>
      </c>
      <c r="L486" t="s">
        <v>165</v>
      </c>
      <c r="M486" t="s">
        <v>25</v>
      </c>
      <c r="N486">
        <v>154.29</v>
      </c>
      <c r="O486">
        <v>4.7618999999999998</v>
      </c>
      <c r="P486">
        <v>7.71</v>
      </c>
      <c r="Q486">
        <v>5.5</v>
      </c>
      <c r="R486" s="8">
        <f t="shared" si="7"/>
        <v>43483</v>
      </c>
    </row>
    <row r="487" spans="1:18" x14ac:dyDescent="0.35">
      <c r="A487" t="s">
        <v>735</v>
      </c>
      <c r="B487" t="s">
        <v>37</v>
      </c>
      <c r="C487" t="s">
        <v>38</v>
      </c>
      <c r="D487" t="s">
        <v>20</v>
      </c>
      <c r="E487" t="s">
        <v>42</v>
      </c>
      <c r="F487" t="s">
        <v>50</v>
      </c>
      <c r="G487">
        <v>92.61</v>
      </c>
      <c r="H487">
        <v>2</v>
      </c>
      <c r="I487">
        <v>9.26</v>
      </c>
      <c r="J487">
        <v>194.48</v>
      </c>
      <c r="K487" t="s">
        <v>266</v>
      </c>
      <c r="L487" t="s">
        <v>176</v>
      </c>
      <c r="M487" t="s">
        <v>35</v>
      </c>
      <c r="N487">
        <v>185.22</v>
      </c>
      <c r="O487">
        <v>4.7618999999999998</v>
      </c>
      <c r="P487">
        <v>9.26</v>
      </c>
      <c r="Q487">
        <v>9</v>
      </c>
      <c r="R487" s="8">
        <f t="shared" si="7"/>
        <v>43507</v>
      </c>
    </row>
    <row r="488" spans="1:18" x14ac:dyDescent="0.35">
      <c r="A488" t="s">
        <v>736</v>
      </c>
      <c r="B488" t="s">
        <v>18</v>
      </c>
      <c r="C488" t="s">
        <v>19</v>
      </c>
      <c r="D488" t="s">
        <v>20</v>
      </c>
      <c r="E488" t="s">
        <v>42</v>
      </c>
      <c r="F488" t="s">
        <v>28</v>
      </c>
      <c r="G488">
        <v>75.77</v>
      </c>
      <c r="H488">
        <v>10</v>
      </c>
      <c r="I488">
        <v>37.89</v>
      </c>
      <c r="J488">
        <v>795.59</v>
      </c>
      <c r="K488" t="s">
        <v>425</v>
      </c>
      <c r="L488" t="s">
        <v>305</v>
      </c>
      <c r="M488" t="s">
        <v>35</v>
      </c>
      <c r="N488">
        <v>757.7</v>
      </c>
      <c r="O488">
        <v>4.7618999999999998</v>
      </c>
      <c r="P488">
        <v>37.89</v>
      </c>
      <c r="Q488">
        <v>6.1</v>
      </c>
      <c r="R488" s="8">
        <f t="shared" si="7"/>
        <v>43514</v>
      </c>
    </row>
    <row r="489" spans="1:18" x14ac:dyDescent="0.35">
      <c r="A489" t="s">
        <v>737</v>
      </c>
      <c r="B489" t="s">
        <v>37</v>
      </c>
      <c r="C489" t="s">
        <v>38</v>
      </c>
      <c r="D489" t="s">
        <v>27</v>
      </c>
      <c r="E489" t="s">
        <v>21</v>
      </c>
      <c r="F489" t="s">
        <v>54</v>
      </c>
      <c r="G489">
        <v>77.290000000000006</v>
      </c>
      <c r="H489">
        <v>10</v>
      </c>
      <c r="I489">
        <v>38.65</v>
      </c>
      <c r="J489">
        <v>811.55</v>
      </c>
      <c r="K489" t="s">
        <v>415</v>
      </c>
      <c r="L489" t="s">
        <v>352</v>
      </c>
      <c r="M489" t="s">
        <v>35</v>
      </c>
      <c r="N489">
        <v>772.9</v>
      </c>
      <c r="O489">
        <v>4.7618999999999998</v>
      </c>
      <c r="P489">
        <v>38.65</v>
      </c>
      <c r="Q489">
        <v>4.3</v>
      </c>
      <c r="R489" s="8">
        <f t="shared" si="7"/>
        <v>43467</v>
      </c>
    </row>
    <row r="490" spans="1:18" x14ac:dyDescent="0.35">
      <c r="A490" t="s">
        <v>738</v>
      </c>
      <c r="B490" t="s">
        <v>68</v>
      </c>
      <c r="C490" t="s">
        <v>69</v>
      </c>
      <c r="D490" t="s">
        <v>27</v>
      </c>
      <c r="E490" t="s">
        <v>21</v>
      </c>
      <c r="F490" t="s">
        <v>61</v>
      </c>
      <c r="G490">
        <v>55.22</v>
      </c>
      <c r="H490">
        <v>4</v>
      </c>
      <c r="I490">
        <v>11.04</v>
      </c>
      <c r="J490">
        <v>231.92</v>
      </c>
      <c r="K490" t="s">
        <v>477</v>
      </c>
      <c r="L490" t="s">
        <v>236</v>
      </c>
      <c r="M490" t="s">
        <v>25</v>
      </c>
      <c r="N490">
        <v>220.88</v>
      </c>
      <c r="O490">
        <v>4.7618999999999998</v>
      </c>
      <c r="P490">
        <v>11.04</v>
      </c>
      <c r="Q490">
        <v>10</v>
      </c>
      <c r="R490" s="8">
        <f t="shared" si="7"/>
        <v>43485</v>
      </c>
    </row>
    <row r="491" spans="1:18" x14ac:dyDescent="0.35">
      <c r="A491" t="s">
        <v>739</v>
      </c>
      <c r="B491" t="s">
        <v>18</v>
      </c>
      <c r="C491" t="s">
        <v>19</v>
      </c>
      <c r="D491" t="s">
        <v>20</v>
      </c>
      <c r="E491" t="s">
        <v>21</v>
      </c>
      <c r="F491" t="s">
        <v>32</v>
      </c>
      <c r="G491">
        <v>36.08</v>
      </c>
      <c r="H491">
        <v>7</v>
      </c>
      <c r="I491">
        <v>12.63</v>
      </c>
      <c r="J491">
        <v>265.19</v>
      </c>
      <c r="K491" t="s">
        <v>58</v>
      </c>
      <c r="L491" t="s">
        <v>591</v>
      </c>
      <c r="M491" t="s">
        <v>45</v>
      </c>
      <c r="N491">
        <v>252.56</v>
      </c>
      <c r="O491">
        <v>4.7618999999999998</v>
      </c>
      <c r="P491">
        <v>12.63</v>
      </c>
      <c r="Q491">
        <v>6.9</v>
      </c>
      <c r="R491" s="8">
        <f t="shared" si="7"/>
        <v>43484</v>
      </c>
    </row>
    <row r="492" spans="1:18" x14ac:dyDescent="0.35">
      <c r="A492" t="s">
        <v>740</v>
      </c>
      <c r="B492" t="s">
        <v>68</v>
      </c>
      <c r="C492" t="s">
        <v>69</v>
      </c>
      <c r="D492" t="s">
        <v>27</v>
      </c>
      <c r="E492" t="s">
        <v>42</v>
      </c>
      <c r="F492" t="s">
        <v>28</v>
      </c>
      <c r="G492">
        <v>45.87</v>
      </c>
      <c r="H492">
        <v>7</v>
      </c>
      <c r="I492">
        <v>16.05</v>
      </c>
      <c r="J492">
        <v>337.14</v>
      </c>
      <c r="K492" t="s">
        <v>124</v>
      </c>
      <c r="L492" t="s">
        <v>71</v>
      </c>
      <c r="M492" t="s">
        <v>25</v>
      </c>
      <c r="N492">
        <v>321.08999999999997</v>
      </c>
      <c r="O492">
        <v>4.7618999999999998</v>
      </c>
      <c r="P492">
        <v>16.05</v>
      </c>
      <c r="Q492">
        <v>5.2</v>
      </c>
      <c r="R492" s="8">
        <f t="shared" si="7"/>
        <v>43482</v>
      </c>
    </row>
    <row r="493" spans="1:18" x14ac:dyDescent="0.35">
      <c r="A493" t="s">
        <v>741</v>
      </c>
      <c r="B493" t="s">
        <v>18</v>
      </c>
      <c r="C493" t="s">
        <v>19</v>
      </c>
      <c r="D493" t="s">
        <v>20</v>
      </c>
      <c r="E493" t="s">
        <v>21</v>
      </c>
      <c r="F493" t="s">
        <v>54</v>
      </c>
      <c r="G493">
        <v>16.45</v>
      </c>
      <c r="H493">
        <v>7</v>
      </c>
      <c r="I493">
        <v>5.76</v>
      </c>
      <c r="J493">
        <v>120.91</v>
      </c>
      <c r="K493" t="s">
        <v>266</v>
      </c>
      <c r="L493" t="s">
        <v>375</v>
      </c>
      <c r="M493" t="s">
        <v>45</v>
      </c>
      <c r="N493">
        <v>115.15</v>
      </c>
      <c r="O493">
        <v>4.7618999999999998</v>
      </c>
      <c r="P493">
        <v>5.76</v>
      </c>
      <c r="Q493">
        <v>4.7</v>
      </c>
      <c r="R493" s="8">
        <f t="shared" si="7"/>
        <v>43507</v>
      </c>
    </row>
    <row r="494" spans="1:18" x14ac:dyDescent="0.35">
      <c r="A494" t="s">
        <v>742</v>
      </c>
      <c r="B494" t="s">
        <v>37</v>
      </c>
      <c r="C494" t="s">
        <v>38</v>
      </c>
      <c r="D494" t="s">
        <v>27</v>
      </c>
      <c r="E494" t="s">
        <v>42</v>
      </c>
      <c r="F494" t="s">
        <v>54</v>
      </c>
      <c r="G494">
        <v>38.869999999999997</v>
      </c>
      <c r="H494">
        <v>10</v>
      </c>
      <c r="I494">
        <v>19.440000000000001</v>
      </c>
      <c r="J494">
        <v>408.14</v>
      </c>
      <c r="K494" t="s">
        <v>276</v>
      </c>
      <c r="L494" t="s">
        <v>125</v>
      </c>
      <c r="M494" t="s">
        <v>45</v>
      </c>
      <c r="N494">
        <v>388.7</v>
      </c>
      <c r="O494">
        <v>4.7618999999999998</v>
      </c>
      <c r="P494">
        <v>19.440000000000001</v>
      </c>
      <c r="Q494">
        <v>9.9</v>
      </c>
      <c r="R494" s="8">
        <f t="shared" si="7"/>
        <v>43549</v>
      </c>
    </row>
    <row r="495" spans="1:18" x14ac:dyDescent="0.35">
      <c r="A495" t="s">
        <v>743</v>
      </c>
      <c r="B495" t="s">
        <v>37</v>
      </c>
      <c r="C495" t="s">
        <v>38</v>
      </c>
      <c r="D495" t="s">
        <v>20</v>
      </c>
      <c r="E495" t="s">
        <v>42</v>
      </c>
      <c r="F495" t="s">
        <v>28</v>
      </c>
      <c r="G495">
        <v>93.18</v>
      </c>
      <c r="H495">
        <v>4</v>
      </c>
      <c r="I495">
        <v>18.64</v>
      </c>
      <c r="J495">
        <v>391.36</v>
      </c>
      <c r="K495" t="s">
        <v>133</v>
      </c>
      <c r="L495" t="s">
        <v>282</v>
      </c>
      <c r="M495" t="s">
        <v>45</v>
      </c>
      <c r="N495">
        <v>372.72</v>
      </c>
      <c r="O495">
        <v>4.7618999999999998</v>
      </c>
      <c r="P495">
        <v>18.64</v>
      </c>
      <c r="Q495">
        <v>8.5</v>
      </c>
      <c r="R495" s="8">
        <f t="shared" si="7"/>
        <v>43491</v>
      </c>
    </row>
    <row r="496" spans="1:18" x14ac:dyDescent="0.35">
      <c r="A496" t="s">
        <v>744</v>
      </c>
      <c r="B496" t="s">
        <v>68</v>
      </c>
      <c r="C496" t="s">
        <v>69</v>
      </c>
      <c r="D496" t="s">
        <v>20</v>
      </c>
      <c r="E496" t="s">
        <v>21</v>
      </c>
      <c r="F496" t="s">
        <v>54</v>
      </c>
      <c r="G496">
        <v>95.4</v>
      </c>
      <c r="H496">
        <v>3</v>
      </c>
      <c r="I496">
        <v>14.31</v>
      </c>
      <c r="J496">
        <v>300.51</v>
      </c>
      <c r="K496" t="s">
        <v>216</v>
      </c>
      <c r="L496" t="s">
        <v>284</v>
      </c>
      <c r="M496" t="s">
        <v>25</v>
      </c>
      <c r="N496">
        <v>286.2</v>
      </c>
      <c r="O496">
        <v>4.7618999999999998</v>
      </c>
      <c r="P496">
        <v>14.31</v>
      </c>
      <c r="Q496">
        <v>8.8000000000000007</v>
      </c>
      <c r="R496" s="8">
        <f t="shared" si="7"/>
        <v>43502</v>
      </c>
    </row>
    <row r="497" spans="1:18" x14ac:dyDescent="0.35">
      <c r="A497" t="s">
        <v>745</v>
      </c>
      <c r="B497" t="s">
        <v>37</v>
      </c>
      <c r="C497" t="s">
        <v>38</v>
      </c>
      <c r="D497" t="s">
        <v>27</v>
      </c>
      <c r="E497" t="s">
        <v>21</v>
      </c>
      <c r="F497" t="s">
        <v>61</v>
      </c>
      <c r="G497">
        <v>28.81</v>
      </c>
      <c r="H497">
        <v>9</v>
      </c>
      <c r="I497">
        <v>12.96</v>
      </c>
      <c r="J497">
        <v>272.25</v>
      </c>
      <c r="K497" t="s">
        <v>330</v>
      </c>
      <c r="L497" t="s">
        <v>432</v>
      </c>
      <c r="M497" t="s">
        <v>25</v>
      </c>
      <c r="N497">
        <v>259.29000000000002</v>
      </c>
      <c r="O497">
        <v>4.7618999999999998</v>
      </c>
      <c r="P497">
        <v>12.96</v>
      </c>
      <c r="Q497">
        <v>8.5</v>
      </c>
      <c r="R497" s="8">
        <f t="shared" si="7"/>
        <v>43493</v>
      </c>
    </row>
    <row r="498" spans="1:18" x14ac:dyDescent="0.35">
      <c r="A498" t="s">
        <v>746</v>
      </c>
      <c r="B498" t="s">
        <v>37</v>
      </c>
      <c r="C498" t="s">
        <v>38</v>
      </c>
      <c r="D498" t="s">
        <v>20</v>
      </c>
      <c r="E498" t="s">
        <v>21</v>
      </c>
      <c r="F498" t="s">
        <v>32</v>
      </c>
      <c r="G498">
        <v>62.47</v>
      </c>
      <c r="H498">
        <v>9</v>
      </c>
      <c r="I498">
        <v>28.11</v>
      </c>
      <c r="J498">
        <v>590.34</v>
      </c>
      <c r="K498" t="s">
        <v>245</v>
      </c>
      <c r="L498" t="s">
        <v>59</v>
      </c>
      <c r="M498" t="s">
        <v>45</v>
      </c>
      <c r="N498">
        <v>562.23</v>
      </c>
      <c r="O498">
        <v>4.7618999999999998</v>
      </c>
      <c r="P498">
        <v>28.11</v>
      </c>
      <c r="Q498">
        <v>5.7</v>
      </c>
      <c r="R498" s="8">
        <f t="shared" si="7"/>
        <v>43471</v>
      </c>
    </row>
    <row r="499" spans="1:18" x14ac:dyDescent="0.35">
      <c r="A499" t="s">
        <v>747</v>
      </c>
      <c r="B499" t="s">
        <v>18</v>
      </c>
      <c r="C499" t="s">
        <v>19</v>
      </c>
      <c r="D499" t="s">
        <v>27</v>
      </c>
      <c r="E499" t="s">
        <v>21</v>
      </c>
      <c r="F499" t="s">
        <v>32</v>
      </c>
      <c r="G499">
        <v>68.930000000000007</v>
      </c>
      <c r="H499">
        <v>1</v>
      </c>
      <c r="I499">
        <v>3.45</v>
      </c>
      <c r="J499">
        <v>72.38</v>
      </c>
      <c r="K499" t="s">
        <v>167</v>
      </c>
      <c r="L499" t="s">
        <v>80</v>
      </c>
      <c r="M499" t="s">
        <v>35</v>
      </c>
      <c r="N499">
        <v>68.930000000000007</v>
      </c>
      <c r="O499">
        <v>4.7618999999999998</v>
      </c>
      <c r="P499">
        <v>3.45</v>
      </c>
      <c r="Q499">
        <v>8</v>
      </c>
      <c r="R499" s="8">
        <f t="shared" si="7"/>
        <v>43474</v>
      </c>
    </row>
    <row r="500" spans="1:18" x14ac:dyDescent="0.35">
      <c r="A500" t="s">
        <v>748</v>
      </c>
      <c r="B500" t="s">
        <v>37</v>
      </c>
      <c r="C500" t="s">
        <v>38</v>
      </c>
      <c r="D500" t="s">
        <v>20</v>
      </c>
      <c r="E500" t="s">
        <v>21</v>
      </c>
      <c r="F500" t="s">
        <v>61</v>
      </c>
      <c r="G500">
        <v>88.07</v>
      </c>
      <c r="H500">
        <v>7</v>
      </c>
      <c r="I500">
        <v>30.82</v>
      </c>
      <c r="J500">
        <v>647.30999999999995</v>
      </c>
      <c r="K500" t="s">
        <v>253</v>
      </c>
      <c r="L500" t="s">
        <v>536</v>
      </c>
      <c r="M500" t="s">
        <v>25</v>
      </c>
      <c r="N500">
        <v>616.49</v>
      </c>
      <c r="O500">
        <v>4.7618999999999998</v>
      </c>
      <c r="P500">
        <v>30.82</v>
      </c>
      <c r="Q500">
        <v>4.5999999999999996</v>
      </c>
      <c r="R500" s="8">
        <f t="shared" si="7"/>
        <v>43495</v>
      </c>
    </row>
    <row r="501" spans="1:18" x14ac:dyDescent="0.35">
      <c r="A501" t="s">
        <v>749</v>
      </c>
      <c r="B501" t="s">
        <v>37</v>
      </c>
      <c r="C501" t="s">
        <v>38</v>
      </c>
      <c r="D501" t="s">
        <v>20</v>
      </c>
      <c r="E501" t="s">
        <v>21</v>
      </c>
      <c r="F501" t="s">
        <v>54</v>
      </c>
      <c r="G501">
        <v>55.06</v>
      </c>
      <c r="H501">
        <v>8</v>
      </c>
      <c r="I501">
        <v>22.02</v>
      </c>
      <c r="J501">
        <v>462.5</v>
      </c>
      <c r="K501" t="s">
        <v>121</v>
      </c>
      <c r="L501" t="s">
        <v>449</v>
      </c>
      <c r="M501" t="s">
        <v>45</v>
      </c>
      <c r="N501">
        <v>440.48</v>
      </c>
      <c r="O501">
        <v>4.7618999999999998</v>
      </c>
      <c r="P501">
        <v>22.02</v>
      </c>
      <c r="Q501">
        <v>9.5</v>
      </c>
      <c r="R501" s="8">
        <f t="shared" si="7"/>
        <v>43537</v>
      </c>
    </row>
    <row r="502" spans="1:18" x14ac:dyDescent="0.35">
      <c r="A502" t="s">
        <v>750</v>
      </c>
      <c r="B502" t="s">
        <v>37</v>
      </c>
      <c r="C502" t="s">
        <v>38</v>
      </c>
      <c r="D502" t="s">
        <v>27</v>
      </c>
      <c r="E502" t="s">
        <v>42</v>
      </c>
      <c r="F502" t="s">
        <v>22</v>
      </c>
      <c r="G502">
        <v>24.13</v>
      </c>
      <c r="H502">
        <v>6</v>
      </c>
      <c r="I502">
        <v>7.24</v>
      </c>
      <c r="J502">
        <v>152.02000000000001</v>
      </c>
      <c r="K502" t="s">
        <v>295</v>
      </c>
      <c r="L502" t="s">
        <v>485</v>
      </c>
      <c r="M502" t="s">
        <v>25</v>
      </c>
      <c r="N502">
        <v>144.78</v>
      </c>
      <c r="O502">
        <v>4.7618999999999998</v>
      </c>
      <c r="P502">
        <v>7.24</v>
      </c>
      <c r="Q502">
        <v>5.8</v>
      </c>
      <c r="R502" s="8">
        <f t="shared" si="7"/>
        <v>43553</v>
      </c>
    </row>
    <row r="503" spans="1:18" x14ac:dyDescent="0.35">
      <c r="A503" t="s">
        <v>751</v>
      </c>
      <c r="B503" t="s">
        <v>37</v>
      </c>
      <c r="C503" t="s">
        <v>38</v>
      </c>
      <c r="D503" t="s">
        <v>20</v>
      </c>
      <c r="E503" t="s">
        <v>42</v>
      </c>
      <c r="F503" t="s">
        <v>32</v>
      </c>
      <c r="G503">
        <v>90.14</v>
      </c>
      <c r="H503">
        <v>1</v>
      </c>
      <c r="I503">
        <v>4.51</v>
      </c>
      <c r="J503">
        <v>94.65</v>
      </c>
      <c r="K503" t="s">
        <v>121</v>
      </c>
      <c r="L503" t="s">
        <v>150</v>
      </c>
      <c r="M503" t="s">
        <v>45</v>
      </c>
      <c r="N503">
        <v>90.14</v>
      </c>
      <c r="O503">
        <v>4.7618999999999998</v>
      </c>
      <c r="P503">
        <v>4.51</v>
      </c>
      <c r="Q503">
        <v>6.1</v>
      </c>
      <c r="R503" s="8">
        <f t="shared" si="7"/>
        <v>43537</v>
      </c>
    </row>
    <row r="504" spans="1:18" x14ac:dyDescent="0.35">
      <c r="A504" t="s">
        <v>752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>
        <v>44.4</v>
      </c>
      <c r="H504">
        <v>10</v>
      </c>
      <c r="I504">
        <v>22.2</v>
      </c>
      <c r="J504">
        <v>466.2</v>
      </c>
      <c r="K504" t="s">
        <v>264</v>
      </c>
      <c r="L504" t="s">
        <v>377</v>
      </c>
      <c r="M504" t="s">
        <v>35</v>
      </c>
      <c r="N504">
        <v>444</v>
      </c>
      <c r="O504">
        <v>4.7618999999999998</v>
      </c>
      <c r="P504">
        <v>22.2</v>
      </c>
      <c r="Q504">
        <v>5.4</v>
      </c>
      <c r="R504" s="8">
        <f t="shared" si="7"/>
        <v>43546</v>
      </c>
    </row>
    <row r="505" spans="1:18" x14ac:dyDescent="0.35">
      <c r="A505" t="s">
        <v>753</v>
      </c>
      <c r="B505" t="s">
        <v>37</v>
      </c>
      <c r="C505" t="s">
        <v>38</v>
      </c>
      <c r="D505" t="s">
        <v>27</v>
      </c>
      <c r="E505" t="s">
        <v>42</v>
      </c>
      <c r="F505" t="s">
        <v>32</v>
      </c>
      <c r="G505">
        <v>58.8</v>
      </c>
      <c r="H505">
        <v>4</v>
      </c>
      <c r="I505">
        <v>11.76</v>
      </c>
      <c r="J505">
        <v>246.96</v>
      </c>
      <c r="K505" t="s">
        <v>276</v>
      </c>
      <c r="L505" t="s">
        <v>580</v>
      </c>
      <c r="M505" t="s">
        <v>25</v>
      </c>
      <c r="N505">
        <v>235.2</v>
      </c>
      <c r="O505">
        <v>4.7618999999999998</v>
      </c>
      <c r="P505">
        <v>11.76</v>
      </c>
      <c r="Q505">
        <v>8.1</v>
      </c>
      <c r="R505" s="8">
        <f t="shared" si="7"/>
        <v>43549</v>
      </c>
    </row>
    <row r="506" spans="1:18" x14ac:dyDescent="0.35">
      <c r="A506" t="s">
        <v>754</v>
      </c>
      <c r="B506" t="s">
        <v>68</v>
      </c>
      <c r="C506" t="s">
        <v>69</v>
      </c>
      <c r="D506" t="s">
        <v>27</v>
      </c>
      <c r="E506" t="s">
        <v>21</v>
      </c>
      <c r="F506" t="s">
        <v>32</v>
      </c>
      <c r="G506">
        <v>99.61</v>
      </c>
      <c r="H506">
        <v>3</v>
      </c>
      <c r="I506">
        <v>14.94</v>
      </c>
      <c r="J506">
        <v>313.77</v>
      </c>
      <c r="K506" t="s">
        <v>276</v>
      </c>
      <c r="L506" t="s">
        <v>380</v>
      </c>
      <c r="M506" t="s">
        <v>35</v>
      </c>
      <c r="N506">
        <v>298.83</v>
      </c>
      <c r="O506">
        <v>4.7618999999999998</v>
      </c>
      <c r="P506">
        <v>14.94</v>
      </c>
      <c r="Q506">
        <v>4.4000000000000004</v>
      </c>
      <c r="R506" s="8">
        <f t="shared" si="7"/>
        <v>43549</v>
      </c>
    </row>
    <row r="507" spans="1:18" x14ac:dyDescent="0.35">
      <c r="A507" t="s">
        <v>755</v>
      </c>
      <c r="B507" t="s">
        <v>18</v>
      </c>
      <c r="C507" t="s">
        <v>19</v>
      </c>
      <c r="D507" t="s">
        <v>20</v>
      </c>
      <c r="E507" t="s">
        <v>21</v>
      </c>
      <c r="F507" t="s">
        <v>61</v>
      </c>
      <c r="G507">
        <v>85.56</v>
      </c>
      <c r="H507">
        <v>3</v>
      </c>
      <c r="I507">
        <v>12.83</v>
      </c>
      <c r="J507">
        <v>269.51</v>
      </c>
      <c r="K507" t="s">
        <v>223</v>
      </c>
      <c r="L507" t="s">
        <v>466</v>
      </c>
      <c r="M507" t="s">
        <v>35</v>
      </c>
      <c r="N507">
        <v>256.68</v>
      </c>
      <c r="O507">
        <v>4.7618999999999998</v>
      </c>
      <c r="P507">
        <v>12.83</v>
      </c>
      <c r="Q507">
        <v>5.8</v>
      </c>
      <c r="R507" s="8">
        <f t="shared" si="7"/>
        <v>43469</v>
      </c>
    </row>
    <row r="508" spans="1:18" x14ac:dyDescent="0.35">
      <c r="A508" t="s">
        <v>756</v>
      </c>
      <c r="B508" t="s">
        <v>18</v>
      </c>
      <c r="C508" t="s">
        <v>19</v>
      </c>
      <c r="D508" t="s">
        <v>27</v>
      </c>
      <c r="E508" t="s">
        <v>21</v>
      </c>
      <c r="F508" t="s">
        <v>54</v>
      </c>
      <c r="G508">
        <v>19.61</v>
      </c>
      <c r="H508">
        <v>3</v>
      </c>
      <c r="I508">
        <v>2.94</v>
      </c>
      <c r="J508">
        <v>61.77</v>
      </c>
      <c r="K508" t="s">
        <v>223</v>
      </c>
      <c r="L508" t="s">
        <v>184</v>
      </c>
      <c r="M508" t="s">
        <v>35</v>
      </c>
      <c r="N508">
        <v>58.83</v>
      </c>
      <c r="O508">
        <v>4.7618999999999998</v>
      </c>
      <c r="P508">
        <v>2.94</v>
      </c>
      <c r="Q508">
        <v>7.6</v>
      </c>
      <c r="R508" s="8">
        <f t="shared" si="7"/>
        <v>43469</v>
      </c>
    </row>
    <row r="509" spans="1:18" x14ac:dyDescent="0.35">
      <c r="A509" t="s">
        <v>757</v>
      </c>
      <c r="B509" t="s">
        <v>68</v>
      </c>
      <c r="C509" t="s">
        <v>69</v>
      </c>
      <c r="D509" t="s">
        <v>20</v>
      </c>
      <c r="E509" t="s">
        <v>21</v>
      </c>
      <c r="F509" t="s">
        <v>22</v>
      </c>
      <c r="G509">
        <v>12.35</v>
      </c>
      <c r="H509">
        <v>2</v>
      </c>
      <c r="I509">
        <v>1.24</v>
      </c>
      <c r="J509">
        <v>25.94</v>
      </c>
      <c r="K509" t="s">
        <v>470</v>
      </c>
      <c r="L509" t="s">
        <v>176</v>
      </c>
      <c r="M509" t="s">
        <v>25</v>
      </c>
      <c r="N509">
        <v>24.7</v>
      </c>
      <c r="O509">
        <v>4.7618999999999998</v>
      </c>
      <c r="P509">
        <v>1.24</v>
      </c>
      <c r="Q509">
        <v>9.1</v>
      </c>
      <c r="R509" s="8">
        <f t="shared" si="7"/>
        <v>43554</v>
      </c>
    </row>
    <row r="510" spans="1:18" x14ac:dyDescent="0.35">
      <c r="A510" t="s">
        <v>758</v>
      </c>
      <c r="B510" t="s">
        <v>18</v>
      </c>
      <c r="C510" t="s">
        <v>19</v>
      </c>
      <c r="D510" t="s">
        <v>27</v>
      </c>
      <c r="E510" t="s">
        <v>21</v>
      </c>
      <c r="F510" t="s">
        <v>32</v>
      </c>
      <c r="G510">
        <v>54.23</v>
      </c>
      <c r="H510">
        <v>3</v>
      </c>
      <c r="I510">
        <v>8.1300000000000008</v>
      </c>
      <c r="J510">
        <v>170.82</v>
      </c>
      <c r="K510" t="s">
        <v>33</v>
      </c>
      <c r="L510" t="s">
        <v>575</v>
      </c>
      <c r="M510" t="s">
        <v>45</v>
      </c>
      <c r="N510">
        <v>162.69</v>
      </c>
      <c r="O510">
        <v>4.7618999999999998</v>
      </c>
      <c r="P510">
        <v>8.1300000000000008</v>
      </c>
      <c r="Q510">
        <v>6.5</v>
      </c>
      <c r="R510" s="8">
        <f t="shared" si="7"/>
        <v>43486</v>
      </c>
    </row>
    <row r="511" spans="1:18" x14ac:dyDescent="0.35">
      <c r="A511" t="s">
        <v>759</v>
      </c>
      <c r="B511" t="s">
        <v>37</v>
      </c>
      <c r="C511" t="s">
        <v>38</v>
      </c>
      <c r="D511" t="s">
        <v>27</v>
      </c>
      <c r="E511" t="s">
        <v>21</v>
      </c>
      <c r="F511" t="s">
        <v>22</v>
      </c>
      <c r="G511">
        <v>70.42</v>
      </c>
      <c r="H511">
        <v>4</v>
      </c>
      <c r="I511">
        <v>14.08</v>
      </c>
      <c r="J511">
        <v>295.76</v>
      </c>
      <c r="K511" t="s">
        <v>479</v>
      </c>
      <c r="L511" t="s">
        <v>463</v>
      </c>
      <c r="M511" t="s">
        <v>35</v>
      </c>
      <c r="N511">
        <v>281.68</v>
      </c>
      <c r="O511">
        <v>4.7618999999999998</v>
      </c>
      <c r="P511">
        <v>14.08</v>
      </c>
      <c r="Q511">
        <v>9.1999999999999993</v>
      </c>
      <c r="R511" s="8">
        <f t="shared" si="7"/>
        <v>43492</v>
      </c>
    </row>
    <row r="512" spans="1:18" x14ac:dyDescent="0.35">
      <c r="A512" t="s">
        <v>760</v>
      </c>
      <c r="B512" t="s">
        <v>18</v>
      </c>
      <c r="C512" t="s">
        <v>19</v>
      </c>
      <c r="D512" t="s">
        <v>27</v>
      </c>
      <c r="E512" t="s">
        <v>42</v>
      </c>
      <c r="F512" t="s">
        <v>54</v>
      </c>
      <c r="G512">
        <v>48.48</v>
      </c>
      <c r="H512">
        <v>1</v>
      </c>
      <c r="I512">
        <v>2.42</v>
      </c>
      <c r="J512">
        <v>50.9</v>
      </c>
      <c r="K512" t="s">
        <v>39</v>
      </c>
      <c r="L512" t="s">
        <v>91</v>
      </c>
      <c r="M512" t="s">
        <v>35</v>
      </c>
      <c r="N512">
        <v>48.48</v>
      </c>
      <c r="O512">
        <v>4.7618999999999998</v>
      </c>
      <c r="P512">
        <v>2.42</v>
      </c>
      <c r="Q512">
        <v>6.4</v>
      </c>
      <c r="R512" s="8">
        <f t="shared" si="7"/>
        <v>43543</v>
      </c>
    </row>
    <row r="513" spans="1:18" x14ac:dyDescent="0.35">
      <c r="A513" t="s">
        <v>761</v>
      </c>
      <c r="B513" t="s">
        <v>18</v>
      </c>
      <c r="C513" t="s">
        <v>19</v>
      </c>
      <c r="D513" t="s">
        <v>20</v>
      </c>
      <c r="E513" t="s">
        <v>21</v>
      </c>
      <c r="F513" t="s">
        <v>32</v>
      </c>
      <c r="G513">
        <v>51.12</v>
      </c>
      <c r="H513">
        <v>1</v>
      </c>
      <c r="I513">
        <v>2.56</v>
      </c>
      <c r="J513">
        <v>53.68</v>
      </c>
      <c r="K513" t="s">
        <v>182</v>
      </c>
      <c r="L513" t="s">
        <v>243</v>
      </c>
      <c r="M513" t="s">
        <v>35</v>
      </c>
      <c r="N513">
        <v>51.12</v>
      </c>
      <c r="O513">
        <v>4.7618999999999998</v>
      </c>
      <c r="P513">
        <v>2.56</v>
      </c>
      <c r="Q513">
        <v>9.9</v>
      </c>
      <c r="R513" s="8">
        <f t="shared" si="7"/>
        <v>43497</v>
      </c>
    </row>
    <row r="514" spans="1:18" x14ac:dyDescent="0.35">
      <c r="A514" t="s">
        <v>762</v>
      </c>
      <c r="B514" t="s">
        <v>18</v>
      </c>
      <c r="C514" t="s">
        <v>19</v>
      </c>
      <c r="D514" t="s">
        <v>27</v>
      </c>
      <c r="E514" t="s">
        <v>21</v>
      </c>
      <c r="F514" t="s">
        <v>54</v>
      </c>
      <c r="G514">
        <v>36.21</v>
      </c>
      <c r="H514">
        <v>7</v>
      </c>
      <c r="I514">
        <v>12.67</v>
      </c>
      <c r="J514">
        <v>266.14</v>
      </c>
      <c r="K514" t="s">
        <v>113</v>
      </c>
      <c r="L514" t="s">
        <v>94</v>
      </c>
      <c r="M514" t="s">
        <v>45</v>
      </c>
      <c r="N514">
        <v>253.47</v>
      </c>
      <c r="O514">
        <v>4.7618999999999998</v>
      </c>
      <c r="P514">
        <v>12.67</v>
      </c>
      <c r="Q514">
        <v>6.5</v>
      </c>
      <c r="R514" s="8">
        <f t="shared" si="7"/>
        <v>43504</v>
      </c>
    </row>
    <row r="515" spans="1:18" x14ac:dyDescent="0.35">
      <c r="A515" t="s">
        <v>763</v>
      </c>
      <c r="B515" t="s">
        <v>68</v>
      </c>
      <c r="C515" t="s">
        <v>69</v>
      </c>
      <c r="D515" t="s">
        <v>20</v>
      </c>
      <c r="E515" t="s">
        <v>42</v>
      </c>
      <c r="F515" t="s">
        <v>22</v>
      </c>
      <c r="G515">
        <v>50.65</v>
      </c>
      <c r="H515">
        <v>9</v>
      </c>
      <c r="I515">
        <v>22.79</v>
      </c>
      <c r="J515">
        <v>478.64</v>
      </c>
      <c r="K515" t="s">
        <v>209</v>
      </c>
      <c r="L515" t="s">
        <v>580</v>
      </c>
      <c r="M515" t="s">
        <v>25</v>
      </c>
      <c r="N515">
        <v>455.85</v>
      </c>
      <c r="O515">
        <v>4.7618999999999998</v>
      </c>
      <c r="P515">
        <v>22.79</v>
      </c>
      <c r="Q515">
        <v>7.3</v>
      </c>
      <c r="R515" s="8">
        <f t="shared" ref="R515:R578" si="8">DATEVALUE(K515)</f>
        <v>43480</v>
      </c>
    </row>
    <row r="516" spans="1:18" x14ac:dyDescent="0.35">
      <c r="A516" t="s">
        <v>764</v>
      </c>
      <c r="B516" t="s">
        <v>37</v>
      </c>
      <c r="C516" t="s">
        <v>38</v>
      </c>
      <c r="D516" t="s">
        <v>27</v>
      </c>
      <c r="E516" t="s">
        <v>42</v>
      </c>
      <c r="F516" t="s">
        <v>28</v>
      </c>
      <c r="G516">
        <v>26.1</v>
      </c>
      <c r="H516">
        <v>10</v>
      </c>
      <c r="I516">
        <v>13.05</v>
      </c>
      <c r="J516">
        <v>274.05</v>
      </c>
      <c r="K516" t="s">
        <v>133</v>
      </c>
      <c r="L516" t="s">
        <v>63</v>
      </c>
      <c r="M516" t="s">
        <v>35</v>
      </c>
      <c r="N516">
        <v>261</v>
      </c>
      <c r="O516">
        <v>4.7618999999999998</v>
      </c>
      <c r="P516">
        <v>13.05</v>
      </c>
      <c r="Q516">
        <v>5.9</v>
      </c>
      <c r="R516" s="8">
        <f t="shared" si="8"/>
        <v>43491</v>
      </c>
    </row>
    <row r="517" spans="1:18" x14ac:dyDescent="0.35">
      <c r="A517" t="s">
        <v>765</v>
      </c>
      <c r="B517" t="s">
        <v>18</v>
      </c>
      <c r="C517" t="s">
        <v>19</v>
      </c>
      <c r="D517" t="s">
        <v>20</v>
      </c>
      <c r="E517" t="s">
        <v>21</v>
      </c>
      <c r="F517" t="s">
        <v>28</v>
      </c>
      <c r="G517">
        <v>20.27</v>
      </c>
      <c r="H517">
        <v>8</v>
      </c>
      <c r="I517">
        <v>8.11</v>
      </c>
      <c r="J517">
        <v>170.27</v>
      </c>
      <c r="K517" t="s">
        <v>47</v>
      </c>
      <c r="L517" t="s">
        <v>270</v>
      </c>
      <c r="M517" t="s">
        <v>25</v>
      </c>
      <c r="N517">
        <v>162.16</v>
      </c>
      <c r="O517">
        <v>4.7618999999999998</v>
      </c>
      <c r="P517">
        <v>8.11</v>
      </c>
      <c r="Q517">
        <v>8.1999999999999993</v>
      </c>
      <c r="R517" s="8">
        <f t="shared" si="8"/>
        <v>43547</v>
      </c>
    </row>
    <row r="518" spans="1:18" x14ac:dyDescent="0.35">
      <c r="A518" t="s">
        <v>766</v>
      </c>
      <c r="B518" t="s">
        <v>18</v>
      </c>
      <c r="C518" t="s">
        <v>19</v>
      </c>
      <c r="D518" t="s">
        <v>20</v>
      </c>
      <c r="E518" t="s">
        <v>42</v>
      </c>
      <c r="F518" t="s">
        <v>50</v>
      </c>
      <c r="G518">
        <v>44.25</v>
      </c>
      <c r="H518">
        <v>3</v>
      </c>
      <c r="I518">
        <v>6.64</v>
      </c>
      <c r="J518">
        <v>139.38999999999999</v>
      </c>
      <c r="K518" t="s">
        <v>229</v>
      </c>
      <c r="L518" t="s">
        <v>114</v>
      </c>
      <c r="M518" t="s">
        <v>45</v>
      </c>
      <c r="N518">
        <v>132.75</v>
      </c>
      <c r="O518">
        <v>4.7618999999999998</v>
      </c>
      <c r="P518">
        <v>6.64</v>
      </c>
      <c r="Q518">
        <v>5</v>
      </c>
      <c r="R518" s="8">
        <f t="shared" si="8"/>
        <v>43508</v>
      </c>
    </row>
    <row r="519" spans="1:18" x14ac:dyDescent="0.35">
      <c r="A519" t="s">
        <v>767</v>
      </c>
      <c r="B519" t="s">
        <v>68</v>
      </c>
      <c r="C519" t="s">
        <v>69</v>
      </c>
      <c r="D519" t="s">
        <v>20</v>
      </c>
      <c r="E519" t="s">
        <v>42</v>
      </c>
      <c r="F519" t="s">
        <v>61</v>
      </c>
      <c r="G519">
        <v>37.86</v>
      </c>
      <c r="H519">
        <v>8</v>
      </c>
      <c r="I519">
        <v>15.14</v>
      </c>
      <c r="J519">
        <v>318.02</v>
      </c>
      <c r="K519" t="s">
        <v>216</v>
      </c>
      <c r="L519" t="s">
        <v>316</v>
      </c>
      <c r="M519" t="s">
        <v>45</v>
      </c>
      <c r="N519">
        <v>302.88</v>
      </c>
      <c r="O519">
        <v>4.7618999999999998</v>
      </c>
      <c r="P519">
        <v>15.14</v>
      </c>
      <c r="Q519">
        <v>9.4</v>
      </c>
      <c r="R519" s="8">
        <f t="shared" si="8"/>
        <v>43502</v>
      </c>
    </row>
    <row r="520" spans="1:18" x14ac:dyDescent="0.35">
      <c r="A520" t="s">
        <v>768</v>
      </c>
      <c r="B520" t="s">
        <v>68</v>
      </c>
      <c r="C520" t="s">
        <v>69</v>
      </c>
      <c r="D520" t="s">
        <v>27</v>
      </c>
      <c r="E520" t="s">
        <v>21</v>
      </c>
      <c r="F520" t="s">
        <v>32</v>
      </c>
      <c r="G520">
        <v>54.79</v>
      </c>
      <c r="H520">
        <v>8</v>
      </c>
      <c r="I520">
        <v>21.92</v>
      </c>
      <c r="J520">
        <v>460.24</v>
      </c>
      <c r="K520" t="s">
        <v>281</v>
      </c>
      <c r="L520" t="s">
        <v>207</v>
      </c>
      <c r="M520" t="s">
        <v>35</v>
      </c>
      <c r="N520">
        <v>438.32</v>
      </c>
      <c r="O520">
        <v>4.7618999999999998</v>
      </c>
      <c r="P520">
        <v>21.92</v>
      </c>
      <c r="Q520">
        <v>5.4</v>
      </c>
      <c r="R520" s="8">
        <f t="shared" si="8"/>
        <v>43535</v>
      </c>
    </row>
    <row r="521" spans="1:18" x14ac:dyDescent="0.35">
      <c r="A521" t="s">
        <v>769</v>
      </c>
      <c r="B521" t="s">
        <v>18</v>
      </c>
      <c r="C521" t="s">
        <v>19</v>
      </c>
      <c r="D521" t="s">
        <v>27</v>
      </c>
      <c r="E521" t="s">
        <v>42</v>
      </c>
      <c r="F521" t="s">
        <v>32</v>
      </c>
      <c r="G521">
        <v>49.77</v>
      </c>
      <c r="H521">
        <v>10</v>
      </c>
      <c r="I521">
        <v>24.89</v>
      </c>
      <c r="J521">
        <v>522.59</v>
      </c>
      <c r="K521" t="s">
        <v>65</v>
      </c>
      <c r="L521" t="s">
        <v>430</v>
      </c>
      <c r="M521" t="s">
        <v>25</v>
      </c>
      <c r="N521">
        <v>497.7</v>
      </c>
      <c r="O521">
        <v>4.7618999999999998</v>
      </c>
      <c r="P521">
        <v>24.89</v>
      </c>
      <c r="Q521">
        <v>5.7</v>
      </c>
      <c r="R521" s="8">
        <f t="shared" si="8"/>
        <v>43542</v>
      </c>
    </row>
    <row r="522" spans="1:18" x14ac:dyDescent="0.35">
      <c r="A522" t="s">
        <v>770</v>
      </c>
      <c r="B522" t="s">
        <v>18</v>
      </c>
      <c r="C522" t="s">
        <v>19</v>
      </c>
      <c r="D522" t="s">
        <v>20</v>
      </c>
      <c r="E522" t="s">
        <v>21</v>
      </c>
      <c r="F522" t="s">
        <v>54</v>
      </c>
      <c r="G522">
        <v>23.34</v>
      </c>
      <c r="H522">
        <v>6</v>
      </c>
      <c r="I522">
        <v>7</v>
      </c>
      <c r="J522">
        <v>147.04</v>
      </c>
      <c r="K522" t="s">
        <v>231</v>
      </c>
      <c r="L522" t="s">
        <v>154</v>
      </c>
      <c r="M522" t="s">
        <v>25</v>
      </c>
      <c r="N522">
        <v>140.04</v>
      </c>
      <c r="O522">
        <v>4.7618999999999998</v>
      </c>
      <c r="P522">
        <v>7</v>
      </c>
      <c r="Q522">
        <v>7.5</v>
      </c>
      <c r="R522" s="8">
        <f t="shared" si="8"/>
        <v>43470</v>
      </c>
    </row>
    <row r="523" spans="1:18" x14ac:dyDescent="0.35">
      <c r="A523" t="s">
        <v>771</v>
      </c>
      <c r="B523" t="s">
        <v>37</v>
      </c>
      <c r="C523" t="s">
        <v>38</v>
      </c>
      <c r="D523" t="s">
        <v>27</v>
      </c>
      <c r="E523" t="s">
        <v>21</v>
      </c>
      <c r="F523" t="s">
        <v>28</v>
      </c>
      <c r="G523">
        <v>19.8</v>
      </c>
      <c r="H523">
        <v>3</v>
      </c>
      <c r="I523">
        <v>2.97</v>
      </c>
      <c r="J523">
        <v>62.37</v>
      </c>
      <c r="K523" t="s">
        <v>33</v>
      </c>
      <c r="L523" t="s">
        <v>110</v>
      </c>
      <c r="M523" t="s">
        <v>25</v>
      </c>
      <c r="N523">
        <v>59.4</v>
      </c>
      <c r="O523">
        <v>4.7618999999999998</v>
      </c>
      <c r="P523">
        <v>2.97</v>
      </c>
      <c r="Q523">
        <v>8</v>
      </c>
      <c r="R523" s="8">
        <f t="shared" si="8"/>
        <v>43486</v>
      </c>
    </row>
    <row r="524" spans="1:18" x14ac:dyDescent="0.35">
      <c r="A524" t="s">
        <v>772</v>
      </c>
      <c r="B524" t="s">
        <v>18</v>
      </c>
      <c r="C524" t="s">
        <v>19</v>
      </c>
      <c r="D524" t="s">
        <v>20</v>
      </c>
      <c r="E524" t="s">
        <v>42</v>
      </c>
      <c r="F524" t="s">
        <v>22</v>
      </c>
      <c r="G524">
        <v>62.11</v>
      </c>
      <c r="H524">
        <v>1</v>
      </c>
      <c r="I524">
        <v>3.11</v>
      </c>
      <c r="J524">
        <v>65.22</v>
      </c>
      <c r="K524" t="s">
        <v>96</v>
      </c>
      <c r="L524" t="s">
        <v>165</v>
      </c>
      <c r="M524" t="s">
        <v>35</v>
      </c>
      <c r="N524">
        <v>62.11</v>
      </c>
      <c r="O524">
        <v>4.7618999999999998</v>
      </c>
      <c r="P524">
        <v>3.11</v>
      </c>
      <c r="Q524">
        <v>9.4</v>
      </c>
      <c r="R524" s="8">
        <f t="shared" si="8"/>
        <v>43477</v>
      </c>
    </row>
    <row r="525" spans="1:18" x14ac:dyDescent="0.35">
      <c r="A525" t="s">
        <v>773</v>
      </c>
      <c r="B525" t="s">
        <v>68</v>
      </c>
      <c r="C525" t="s">
        <v>69</v>
      </c>
      <c r="D525" t="s">
        <v>27</v>
      </c>
      <c r="E525" t="s">
        <v>21</v>
      </c>
      <c r="F525" t="s">
        <v>61</v>
      </c>
      <c r="G525">
        <v>52.37</v>
      </c>
      <c r="H525">
        <v>2</v>
      </c>
      <c r="I525">
        <v>5.24</v>
      </c>
      <c r="J525">
        <v>109.98</v>
      </c>
      <c r="K525" t="s">
        <v>470</v>
      </c>
      <c r="L525" t="s">
        <v>165</v>
      </c>
      <c r="M525" t="s">
        <v>25</v>
      </c>
      <c r="N525">
        <v>104.74</v>
      </c>
      <c r="O525">
        <v>4.7618999999999998</v>
      </c>
      <c r="P525">
        <v>5.24</v>
      </c>
      <c r="Q525">
        <v>6.5</v>
      </c>
      <c r="R525" s="8">
        <f t="shared" si="8"/>
        <v>43554</v>
      </c>
    </row>
    <row r="526" spans="1:18" x14ac:dyDescent="0.35">
      <c r="A526" t="s">
        <v>774</v>
      </c>
      <c r="B526" t="s">
        <v>18</v>
      </c>
      <c r="C526" t="s">
        <v>19</v>
      </c>
      <c r="D526" t="s">
        <v>20</v>
      </c>
      <c r="E526" t="s">
        <v>21</v>
      </c>
      <c r="F526" t="s">
        <v>28</v>
      </c>
      <c r="G526">
        <v>61.42</v>
      </c>
      <c r="H526">
        <v>9</v>
      </c>
      <c r="I526">
        <v>27.64</v>
      </c>
      <c r="J526">
        <v>580.41999999999996</v>
      </c>
      <c r="K526" t="s">
        <v>96</v>
      </c>
      <c r="L526" t="s">
        <v>152</v>
      </c>
      <c r="M526" t="s">
        <v>25</v>
      </c>
      <c r="N526">
        <v>552.78</v>
      </c>
      <c r="O526">
        <v>4.7618999999999998</v>
      </c>
      <c r="P526">
        <v>27.64</v>
      </c>
      <c r="Q526">
        <v>7.6</v>
      </c>
      <c r="R526" s="8">
        <f t="shared" si="8"/>
        <v>43477</v>
      </c>
    </row>
    <row r="527" spans="1:18" x14ac:dyDescent="0.35">
      <c r="A527" t="s">
        <v>775</v>
      </c>
      <c r="B527" t="s">
        <v>18</v>
      </c>
      <c r="C527" t="s">
        <v>19</v>
      </c>
      <c r="D527" t="s">
        <v>27</v>
      </c>
      <c r="E527" t="s">
        <v>42</v>
      </c>
      <c r="F527" t="s">
        <v>50</v>
      </c>
      <c r="G527">
        <v>86.3</v>
      </c>
      <c r="H527">
        <v>5</v>
      </c>
      <c r="I527">
        <v>21.58</v>
      </c>
      <c r="J527">
        <v>453.08</v>
      </c>
      <c r="K527" t="s">
        <v>332</v>
      </c>
      <c r="L527" t="s">
        <v>184</v>
      </c>
      <c r="M527" t="s">
        <v>35</v>
      </c>
      <c r="N527">
        <v>431.5</v>
      </c>
      <c r="O527">
        <v>4.7618999999999998</v>
      </c>
      <c r="P527">
        <v>21.58</v>
      </c>
      <c r="Q527">
        <v>9.6</v>
      </c>
      <c r="R527" s="8">
        <f t="shared" si="8"/>
        <v>43533</v>
      </c>
    </row>
    <row r="528" spans="1:18" x14ac:dyDescent="0.35">
      <c r="A528" t="s">
        <v>776</v>
      </c>
      <c r="B528" t="s">
        <v>18</v>
      </c>
      <c r="C528" t="s">
        <v>19</v>
      </c>
      <c r="D528" t="s">
        <v>27</v>
      </c>
      <c r="E528" t="s">
        <v>42</v>
      </c>
      <c r="F528" t="s">
        <v>32</v>
      </c>
      <c r="G528">
        <v>82.72</v>
      </c>
      <c r="H528">
        <v>10</v>
      </c>
      <c r="I528">
        <v>41.36</v>
      </c>
      <c r="J528">
        <v>868.56</v>
      </c>
      <c r="K528" t="s">
        <v>253</v>
      </c>
      <c r="L528" t="s">
        <v>150</v>
      </c>
      <c r="M528" t="s">
        <v>45</v>
      </c>
      <c r="N528">
        <v>827.2</v>
      </c>
      <c r="O528">
        <v>4.7618999999999998</v>
      </c>
      <c r="P528">
        <v>41.36</v>
      </c>
      <c r="Q528">
        <v>4.7</v>
      </c>
      <c r="R528" s="8">
        <f t="shared" si="8"/>
        <v>43495</v>
      </c>
    </row>
    <row r="529" spans="1:18" x14ac:dyDescent="0.35">
      <c r="A529" t="s">
        <v>777</v>
      </c>
      <c r="B529" t="s">
        <v>18</v>
      </c>
      <c r="C529" t="s">
        <v>19</v>
      </c>
      <c r="D529" t="s">
        <v>20</v>
      </c>
      <c r="E529" t="s">
        <v>21</v>
      </c>
      <c r="F529" t="s">
        <v>50</v>
      </c>
      <c r="G529">
        <v>99.91</v>
      </c>
      <c r="H529">
        <v>7</v>
      </c>
      <c r="I529">
        <v>34.97</v>
      </c>
      <c r="J529">
        <v>734.34</v>
      </c>
      <c r="K529" t="s">
        <v>245</v>
      </c>
      <c r="L529" t="s">
        <v>485</v>
      </c>
      <c r="M529" t="s">
        <v>25</v>
      </c>
      <c r="N529">
        <v>699.37</v>
      </c>
      <c r="O529">
        <v>4.7618999999999998</v>
      </c>
      <c r="P529">
        <v>34.97</v>
      </c>
      <c r="Q529">
        <v>8.8000000000000007</v>
      </c>
      <c r="R529" s="8">
        <f t="shared" si="8"/>
        <v>43471</v>
      </c>
    </row>
    <row r="530" spans="1:18" x14ac:dyDescent="0.35">
      <c r="A530" t="s">
        <v>778</v>
      </c>
      <c r="B530" t="s">
        <v>68</v>
      </c>
      <c r="C530" t="s">
        <v>69</v>
      </c>
      <c r="D530" t="s">
        <v>20</v>
      </c>
      <c r="E530" t="s">
        <v>42</v>
      </c>
      <c r="F530" t="s">
        <v>61</v>
      </c>
      <c r="G530">
        <v>81.12</v>
      </c>
      <c r="H530">
        <v>5</v>
      </c>
      <c r="I530">
        <v>20.28</v>
      </c>
      <c r="J530">
        <v>425.88</v>
      </c>
      <c r="K530" t="s">
        <v>113</v>
      </c>
      <c r="L530" t="s">
        <v>243</v>
      </c>
      <c r="M530" t="s">
        <v>35</v>
      </c>
      <c r="N530">
        <v>405.6</v>
      </c>
      <c r="O530">
        <v>4.7618999999999998</v>
      </c>
      <c r="P530">
        <v>20.28</v>
      </c>
      <c r="Q530">
        <v>8.6</v>
      </c>
      <c r="R530" s="8">
        <f t="shared" si="8"/>
        <v>43504</v>
      </c>
    </row>
    <row r="531" spans="1:18" x14ac:dyDescent="0.35">
      <c r="A531" t="s">
        <v>779</v>
      </c>
      <c r="B531" t="s">
        <v>18</v>
      </c>
      <c r="C531" t="s">
        <v>19</v>
      </c>
      <c r="D531" t="s">
        <v>27</v>
      </c>
      <c r="E531" t="s">
        <v>42</v>
      </c>
      <c r="F531" t="s">
        <v>32</v>
      </c>
      <c r="G531">
        <v>75.2</v>
      </c>
      <c r="H531">
        <v>10</v>
      </c>
      <c r="I531">
        <v>37.6</v>
      </c>
      <c r="J531">
        <v>789.6</v>
      </c>
      <c r="K531" t="s">
        <v>223</v>
      </c>
      <c r="L531" t="s">
        <v>148</v>
      </c>
      <c r="M531" t="s">
        <v>35</v>
      </c>
      <c r="N531">
        <v>752</v>
      </c>
      <c r="O531">
        <v>4.7618999999999998</v>
      </c>
      <c r="P531">
        <v>37.6</v>
      </c>
      <c r="Q531">
        <v>9</v>
      </c>
      <c r="R531" s="8">
        <f t="shared" si="8"/>
        <v>43469</v>
      </c>
    </row>
    <row r="532" spans="1:18" x14ac:dyDescent="0.35">
      <c r="A532" t="s">
        <v>780</v>
      </c>
      <c r="B532" t="s">
        <v>37</v>
      </c>
      <c r="C532" t="s">
        <v>38</v>
      </c>
      <c r="D532" t="s">
        <v>27</v>
      </c>
      <c r="E532" t="s">
        <v>21</v>
      </c>
      <c r="F532" t="s">
        <v>22</v>
      </c>
      <c r="G532">
        <v>22.22</v>
      </c>
      <c r="H532">
        <v>3</v>
      </c>
      <c r="I532">
        <v>3.33</v>
      </c>
      <c r="J532">
        <v>69.989999999999995</v>
      </c>
      <c r="K532" t="s">
        <v>264</v>
      </c>
      <c r="L532" t="s">
        <v>66</v>
      </c>
      <c r="M532" t="s">
        <v>35</v>
      </c>
      <c r="N532">
        <v>66.66</v>
      </c>
      <c r="O532">
        <v>4.7618999999999998</v>
      </c>
      <c r="P532">
        <v>3.33</v>
      </c>
      <c r="Q532">
        <v>6.8</v>
      </c>
      <c r="R532" s="8">
        <f t="shared" si="8"/>
        <v>43546</v>
      </c>
    </row>
    <row r="533" spans="1:18" x14ac:dyDescent="0.35">
      <c r="A533" t="s">
        <v>781</v>
      </c>
      <c r="B533" t="s">
        <v>37</v>
      </c>
      <c r="C533" t="s">
        <v>38</v>
      </c>
      <c r="D533" t="s">
        <v>20</v>
      </c>
      <c r="E533" t="s">
        <v>42</v>
      </c>
      <c r="F533" t="s">
        <v>50</v>
      </c>
      <c r="G533">
        <v>75.25</v>
      </c>
      <c r="H533">
        <v>6</v>
      </c>
      <c r="I533">
        <v>22.58</v>
      </c>
      <c r="J533">
        <v>474.08</v>
      </c>
      <c r="K533" t="s">
        <v>121</v>
      </c>
      <c r="L533" t="s">
        <v>103</v>
      </c>
      <c r="M533" t="s">
        <v>45</v>
      </c>
      <c r="N533">
        <v>451.5</v>
      </c>
      <c r="O533">
        <v>4.7618999999999998</v>
      </c>
      <c r="P533">
        <v>22.58</v>
      </c>
      <c r="Q533">
        <v>7.5</v>
      </c>
      <c r="R533" s="8">
        <f t="shared" si="8"/>
        <v>43537</v>
      </c>
    </row>
    <row r="534" spans="1:18" x14ac:dyDescent="0.35">
      <c r="A534" t="s">
        <v>782</v>
      </c>
      <c r="B534" t="s">
        <v>37</v>
      </c>
      <c r="C534" t="s">
        <v>38</v>
      </c>
      <c r="D534" t="s">
        <v>20</v>
      </c>
      <c r="E534" t="s">
        <v>21</v>
      </c>
      <c r="F534" t="s">
        <v>61</v>
      </c>
      <c r="G534">
        <v>85.67</v>
      </c>
      <c r="H534">
        <v>6</v>
      </c>
      <c r="I534">
        <v>25.7</v>
      </c>
      <c r="J534">
        <v>539.72</v>
      </c>
      <c r="K534" t="s">
        <v>425</v>
      </c>
      <c r="L534" t="s">
        <v>289</v>
      </c>
      <c r="M534" t="s">
        <v>45</v>
      </c>
      <c r="N534">
        <v>514.02</v>
      </c>
      <c r="O534">
        <v>4.7618999999999998</v>
      </c>
      <c r="P534">
        <v>25.7</v>
      </c>
      <c r="Q534">
        <v>7.4</v>
      </c>
      <c r="R534" s="8">
        <f t="shared" si="8"/>
        <v>43514</v>
      </c>
    </row>
    <row r="535" spans="1:18" x14ac:dyDescent="0.35">
      <c r="A535" t="s">
        <v>783</v>
      </c>
      <c r="B535" t="s">
        <v>68</v>
      </c>
      <c r="C535" t="s">
        <v>69</v>
      </c>
      <c r="D535" t="s">
        <v>20</v>
      </c>
      <c r="E535" t="s">
        <v>42</v>
      </c>
      <c r="F535" t="s">
        <v>22</v>
      </c>
      <c r="G535">
        <v>87.2</v>
      </c>
      <c r="H535">
        <v>1</v>
      </c>
      <c r="I535">
        <v>4.3600000000000003</v>
      </c>
      <c r="J535">
        <v>91.56</v>
      </c>
      <c r="K535" t="s">
        <v>218</v>
      </c>
      <c r="L535" t="s">
        <v>277</v>
      </c>
      <c r="M535" t="s">
        <v>35</v>
      </c>
      <c r="N535">
        <v>87.2</v>
      </c>
      <c r="O535">
        <v>4.7618999999999998</v>
      </c>
      <c r="P535">
        <v>4.3600000000000003</v>
      </c>
      <c r="Q535">
        <v>9.3000000000000007</v>
      </c>
      <c r="R535" s="8">
        <f t="shared" si="8"/>
        <v>43500</v>
      </c>
    </row>
    <row r="536" spans="1:18" x14ac:dyDescent="0.35">
      <c r="A536" t="s">
        <v>784</v>
      </c>
      <c r="B536" t="s">
        <v>37</v>
      </c>
      <c r="C536" t="s">
        <v>38</v>
      </c>
      <c r="D536" t="s">
        <v>27</v>
      </c>
      <c r="E536" t="s">
        <v>21</v>
      </c>
      <c r="F536" t="s">
        <v>50</v>
      </c>
      <c r="G536">
        <v>37.21</v>
      </c>
      <c r="H536">
        <v>2</v>
      </c>
      <c r="I536">
        <v>3.72</v>
      </c>
      <c r="J536">
        <v>78.14</v>
      </c>
      <c r="K536" t="s">
        <v>320</v>
      </c>
      <c r="L536" t="s">
        <v>430</v>
      </c>
      <c r="M536" t="s">
        <v>45</v>
      </c>
      <c r="N536">
        <v>74.42</v>
      </c>
      <c r="O536">
        <v>4.7618999999999998</v>
      </c>
      <c r="P536">
        <v>3.72</v>
      </c>
      <c r="Q536">
        <v>6.7</v>
      </c>
      <c r="R536" s="8">
        <f t="shared" si="8"/>
        <v>43513</v>
      </c>
    </row>
    <row r="537" spans="1:18" x14ac:dyDescent="0.35">
      <c r="A537" t="s">
        <v>785</v>
      </c>
      <c r="B537" t="s">
        <v>37</v>
      </c>
      <c r="C537" t="s">
        <v>38</v>
      </c>
      <c r="D537" t="s">
        <v>20</v>
      </c>
      <c r="E537" t="s">
        <v>21</v>
      </c>
      <c r="F537" t="s">
        <v>61</v>
      </c>
      <c r="G537">
        <v>93.13</v>
      </c>
      <c r="H537">
        <v>9</v>
      </c>
      <c r="I537">
        <v>41.91</v>
      </c>
      <c r="J537">
        <v>880.08</v>
      </c>
      <c r="K537" t="s">
        <v>75</v>
      </c>
      <c r="L537" t="s">
        <v>48</v>
      </c>
      <c r="M537" t="s">
        <v>45</v>
      </c>
      <c r="N537">
        <v>838.17</v>
      </c>
      <c r="O537">
        <v>4.7618999999999998</v>
      </c>
      <c r="P537">
        <v>41.91</v>
      </c>
      <c r="Q537">
        <v>8.9</v>
      </c>
      <c r="R537" s="8">
        <f t="shared" si="8"/>
        <v>43505</v>
      </c>
    </row>
    <row r="538" spans="1:18" x14ac:dyDescent="0.35">
      <c r="A538" t="s">
        <v>786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>
        <v>13.29</v>
      </c>
      <c r="H538">
        <v>7</v>
      </c>
      <c r="I538">
        <v>4.6500000000000004</v>
      </c>
      <c r="J538">
        <v>97.68</v>
      </c>
      <c r="K538" t="s">
        <v>339</v>
      </c>
      <c r="L538" t="s">
        <v>305</v>
      </c>
      <c r="M538" t="s">
        <v>35</v>
      </c>
      <c r="N538">
        <v>93.03</v>
      </c>
      <c r="O538">
        <v>4.7618999999999998</v>
      </c>
      <c r="P538">
        <v>4.6500000000000004</v>
      </c>
      <c r="Q538">
        <v>9.6</v>
      </c>
      <c r="R538" s="8">
        <f t="shared" si="8"/>
        <v>43532</v>
      </c>
    </row>
    <row r="539" spans="1:18" x14ac:dyDescent="0.35">
      <c r="A539" t="s">
        <v>787</v>
      </c>
      <c r="B539" t="s">
        <v>18</v>
      </c>
      <c r="C539" t="s">
        <v>19</v>
      </c>
      <c r="D539" t="s">
        <v>20</v>
      </c>
      <c r="E539" t="s">
        <v>42</v>
      </c>
      <c r="F539" t="s">
        <v>32</v>
      </c>
      <c r="G539">
        <v>90.03</v>
      </c>
      <c r="H539">
        <v>2</v>
      </c>
      <c r="I539">
        <v>9</v>
      </c>
      <c r="J539">
        <v>189.06</v>
      </c>
      <c r="K539" t="s">
        <v>339</v>
      </c>
      <c r="L539" t="s">
        <v>131</v>
      </c>
      <c r="M539" t="s">
        <v>35</v>
      </c>
      <c r="N539">
        <v>180.06</v>
      </c>
      <c r="O539">
        <v>4.7618999999999998</v>
      </c>
      <c r="P539">
        <v>9</v>
      </c>
      <c r="Q539">
        <v>4.0999999999999996</v>
      </c>
      <c r="R539" s="8">
        <f t="shared" si="8"/>
        <v>43532</v>
      </c>
    </row>
    <row r="540" spans="1:18" x14ac:dyDescent="0.35">
      <c r="A540" t="s">
        <v>788</v>
      </c>
      <c r="B540" t="s">
        <v>37</v>
      </c>
      <c r="C540" t="s">
        <v>38</v>
      </c>
      <c r="D540" t="s">
        <v>20</v>
      </c>
      <c r="E540" t="s">
        <v>42</v>
      </c>
      <c r="F540" t="s">
        <v>54</v>
      </c>
      <c r="G540">
        <v>27.33</v>
      </c>
      <c r="H540">
        <v>5</v>
      </c>
      <c r="I540">
        <v>6.83</v>
      </c>
      <c r="J540">
        <v>143.47999999999999</v>
      </c>
      <c r="K540" t="s">
        <v>336</v>
      </c>
      <c r="L540" t="s">
        <v>160</v>
      </c>
      <c r="M540" t="s">
        <v>25</v>
      </c>
      <c r="N540">
        <v>136.65</v>
      </c>
      <c r="O540">
        <v>4.7618999999999998</v>
      </c>
      <c r="P540">
        <v>6.83</v>
      </c>
      <c r="Q540">
        <v>4.7</v>
      </c>
      <c r="R540" s="8">
        <f t="shared" si="8"/>
        <v>43534</v>
      </c>
    </row>
    <row r="541" spans="1:18" x14ac:dyDescent="0.35">
      <c r="A541" t="s">
        <v>789</v>
      </c>
      <c r="B541" t="s">
        <v>68</v>
      </c>
      <c r="C541" t="s">
        <v>69</v>
      </c>
      <c r="D541" t="s">
        <v>27</v>
      </c>
      <c r="E541" t="s">
        <v>21</v>
      </c>
      <c r="F541" t="s">
        <v>28</v>
      </c>
      <c r="G541">
        <v>96.25</v>
      </c>
      <c r="H541">
        <v>9</v>
      </c>
      <c r="I541">
        <v>43.31</v>
      </c>
      <c r="J541">
        <v>909.56</v>
      </c>
      <c r="K541" t="s">
        <v>62</v>
      </c>
      <c r="L541" t="s">
        <v>224</v>
      </c>
      <c r="M541" t="s">
        <v>25</v>
      </c>
      <c r="N541">
        <v>866.25</v>
      </c>
      <c r="O541">
        <v>4.7618999999999998</v>
      </c>
      <c r="P541">
        <v>43.31</v>
      </c>
      <c r="Q541">
        <v>6.1</v>
      </c>
      <c r="R541" s="8">
        <f t="shared" si="8"/>
        <v>43531</v>
      </c>
    </row>
    <row r="542" spans="1:18" x14ac:dyDescent="0.35">
      <c r="A542" t="s">
        <v>790</v>
      </c>
      <c r="B542" t="s">
        <v>37</v>
      </c>
      <c r="C542" t="s">
        <v>38</v>
      </c>
      <c r="D542" t="s">
        <v>20</v>
      </c>
      <c r="E542" t="s">
        <v>42</v>
      </c>
      <c r="F542" t="s">
        <v>50</v>
      </c>
      <c r="G542">
        <v>32.03</v>
      </c>
      <c r="H542">
        <v>2</v>
      </c>
      <c r="I542">
        <v>3.2</v>
      </c>
      <c r="J542">
        <v>67.260000000000005</v>
      </c>
      <c r="K542" t="s">
        <v>75</v>
      </c>
      <c r="L542" t="s">
        <v>248</v>
      </c>
      <c r="M542" t="s">
        <v>25</v>
      </c>
      <c r="N542">
        <v>64.06</v>
      </c>
      <c r="O542">
        <v>4.7618999999999998</v>
      </c>
      <c r="P542">
        <v>3.2</v>
      </c>
      <c r="Q542">
        <v>6.7</v>
      </c>
      <c r="R542" s="8">
        <f t="shared" si="8"/>
        <v>43505</v>
      </c>
    </row>
    <row r="543" spans="1:18" x14ac:dyDescent="0.35">
      <c r="A543" t="s">
        <v>791</v>
      </c>
      <c r="B543" t="s">
        <v>68</v>
      </c>
      <c r="C543" t="s">
        <v>69</v>
      </c>
      <c r="D543" t="s">
        <v>27</v>
      </c>
      <c r="E543" t="s">
        <v>21</v>
      </c>
      <c r="F543" t="s">
        <v>28</v>
      </c>
      <c r="G543">
        <v>44.52</v>
      </c>
      <c r="H543">
        <v>2</v>
      </c>
      <c r="I543">
        <v>4.45</v>
      </c>
      <c r="J543">
        <v>93.49</v>
      </c>
      <c r="K543" t="s">
        <v>482</v>
      </c>
      <c r="L543" t="s">
        <v>267</v>
      </c>
      <c r="M543" t="s">
        <v>25</v>
      </c>
      <c r="N543">
        <v>89.04</v>
      </c>
      <c r="O543">
        <v>4.7618999999999998</v>
      </c>
      <c r="P543">
        <v>4.45</v>
      </c>
      <c r="Q543">
        <v>7.6</v>
      </c>
      <c r="R543" s="8">
        <f t="shared" si="8"/>
        <v>43520</v>
      </c>
    </row>
    <row r="544" spans="1:18" x14ac:dyDescent="0.35">
      <c r="A544" t="s">
        <v>792</v>
      </c>
      <c r="B544" t="s">
        <v>18</v>
      </c>
      <c r="C544" t="s">
        <v>19</v>
      </c>
      <c r="D544" t="s">
        <v>27</v>
      </c>
      <c r="E544" t="s">
        <v>42</v>
      </c>
      <c r="F544" t="s">
        <v>61</v>
      </c>
      <c r="G544">
        <v>39.909999999999997</v>
      </c>
      <c r="H544">
        <v>4</v>
      </c>
      <c r="I544">
        <v>7.98</v>
      </c>
      <c r="J544">
        <v>167.62</v>
      </c>
      <c r="K544" t="s">
        <v>109</v>
      </c>
      <c r="L544" t="s">
        <v>272</v>
      </c>
      <c r="M544" t="s">
        <v>35</v>
      </c>
      <c r="N544">
        <v>159.63999999999999</v>
      </c>
      <c r="O544">
        <v>4.7618999999999998</v>
      </c>
      <c r="P544">
        <v>7.98</v>
      </c>
      <c r="Q544">
        <v>7.4</v>
      </c>
      <c r="R544" s="8">
        <f t="shared" si="8"/>
        <v>43551</v>
      </c>
    </row>
    <row r="545" spans="1:18" x14ac:dyDescent="0.35">
      <c r="A545" t="s">
        <v>793</v>
      </c>
      <c r="B545" t="s">
        <v>18</v>
      </c>
      <c r="C545" t="s">
        <v>19</v>
      </c>
      <c r="D545" t="s">
        <v>27</v>
      </c>
      <c r="E545" t="s">
        <v>21</v>
      </c>
      <c r="F545" t="s">
        <v>32</v>
      </c>
      <c r="G545">
        <v>37.94</v>
      </c>
      <c r="H545">
        <v>8</v>
      </c>
      <c r="I545">
        <v>15.18</v>
      </c>
      <c r="J545">
        <v>318.7</v>
      </c>
      <c r="K545" t="s">
        <v>226</v>
      </c>
      <c r="L545" t="s">
        <v>575</v>
      </c>
      <c r="M545" t="s">
        <v>45</v>
      </c>
      <c r="N545">
        <v>303.52</v>
      </c>
      <c r="O545">
        <v>4.7618999999999998</v>
      </c>
      <c r="P545">
        <v>15.18</v>
      </c>
      <c r="Q545">
        <v>9.1999999999999993</v>
      </c>
      <c r="R545" s="8">
        <f t="shared" si="8"/>
        <v>43526</v>
      </c>
    </row>
    <row r="546" spans="1:18" x14ac:dyDescent="0.35">
      <c r="A546" t="s">
        <v>794</v>
      </c>
      <c r="B546" t="s">
        <v>37</v>
      </c>
      <c r="C546" t="s">
        <v>38</v>
      </c>
      <c r="D546" t="s">
        <v>27</v>
      </c>
      <c r="E546" t="s">
        <v>42</v>
      </c>
      <c r="F546" t="s">
        <v>54</v>
      </c>
      <c r="G546">
        <v>72.97</v>
      </c>
      <c r="H546">
        <v>6</v>
      </c>
      <c r="I546">
        <v>21.89</v>
      </c>
      <c r="J546">
        <v>459.71</v>
      </c>
      <c r="K546" t="s">
        <v>266</v>
      </c>
      <c r="L546" t="s">
        <v>732</v>
      </c>
      <c r="M546" t="s">
        <v>45</v>
      </c>
      <c r="N546">
        <v>437.82</v>
      </c>
      <c r="O546">
        <v>4.7618999999999998</v>
      </c>
      <c r="P546">
        <v>21.89</v>
      </c>
      <c r="Q546">
        <v>4.4000000000000004</v>
      </c>
      <c r="R546" s="8">
        <f t="shared" si="8"/>
        <v>43507</v>
      </c>
    </row>
    <row r="547" spans="1:18" x14ac:dyDescent="0.35">
      <c r="A547" t="s">
        <v>795</v>
      </c>
      <c r="B547" t="s">
        <v>37</v>
      </c>
      <c r="C547" t="s">
        <v>38</v>
      </c>
      <c r="D547" t="s">
        <v>27</v>
      </c>
      <c r="E547" t="s">
        <v>42</v>
      </c>
      <c r="F547" t="s">
        <v>54</v>
      </c>
      <c r="G547">
        <v>35.4</v>
      </c>
      <c r="H547">
        <v>6</v>
      </c>
      <c r="I547">
        <v>10.62</v>
      </c>
      <c r="J547">
        <v>223.02</v>
      </c>
      <c r="K547" t="s">
        <v>39</v>
      </c>
      <c r="L547" t="s">
        <v>380</v>
      </c>
      <c r="M547" t="s">
        <v>25</v>
      </c>
      <c r="N547">
        <v>212.4</v>
      </c>
      <c r="O547">
        <v>4.7618999999999998</v>
      </c>
      <c r="P547">
        <v>10.62</v>
      </c>
      <c r="Q547">
        <v>4.5999999999999996</v>
      </c>
      <c r="R547" s="8">
        <f t="shared" si="8"/>
        <v>43543</v>
      </c>
    </row>
    <row r="548" spans="1:18" x14ac:dyDescent="0.35">
      <c r="A548" t="s">
        <v>796</v>
      </c>
      <c r="B548" t="s">
        <v>18</v>
      </c>
      <c r="C548" t="s">
        <v>19</v>
      </c>
      <c r="D548" t="s">
        <v>20</v>
      </c>
      <c r="E548" t="s">
        <v>42</v>
      </c>
      <c r="F548" t="s">
        <v>50</v>
      </c>
      <c r="G548">
        <v>68.45</v>
      </c>
      <c r="H548">
        <v>5</v>
      </c>
      <c r="I548">
        <v>17.11</v>
      </c>
      <c r="J548">
        <v>359.36</v>
      </c>
      <c r="K548" t="s">
        <v>336</v>
      </c>
      <c r="L548" t="s">
        <v>307</v>
      </c>
      <c r="M548" t="s">
        <v>25</v>
      </c>
      <c r="N548">
        <v>342.25</v>
      </c>
      <c r="O548">
        <v>4.7618999999999998</v>
      </c>
      <c r="P548">
        <v>17.11</v>
      </c>
      <c r="Q548">
        <v>6.5</v>
      </c>
      <c r="R548" s="8">
        <f t="shared" si="8"/>
        <v>43534</v>
      </c>
    </row>
    <row r="549" spans="1:18" x14ac:dyDescent="0.35">
      <c r="A549" t="s">
        <v>797</v>
      </c>
      <c r="B549" t="s">
        <v>68</v>
      </c>
      <c r="C549" t="s">
        <v>69</v>
      </c>
      <c r="D549" t="s">
        <v>20</v>
      </c>
      <c r="E549" t="s">
        <v>42</v>
      </c>
      <c r="F549" t="s">
        <v>32</v>
      </c>
      <c r="G549">
        <v>15.95</v>
      </c>
      <c r="H549">
        <v>4</v>
      </c>
      <c r="I549">
        <v>3.19</v>
      </c>
      <c r="J549">
        <v>66.989999999999995</v>
      </c>
      <c r="K549" t="s">
        <v>470</v>
      </c>
      <c r="L549" t="s">
        <v>171</v>
      </c>
      <c r="M549" t="s">
        <v>35</v>
      </c>
      <c r="N549">
        <v>63.8</v>
      </c>
      <c r="O549">
        <v>4.7618999999999998</v>
      </c>
      <c r="P549">
        <v>3.19</v>
      </c>
      <c r="Q549">
        <v>7.4</v>
      </c>
      <c r="R549" s="8">
        <f t="shared" si="8"/>
        <v>43554</v>
      </c>
    </row>
    <row r="550" spans="1:18" x14ac:dyDescent="0.35">
      <c r="A550" t="s">
        <v>798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>
        <v>70.260000000000005</v>
      </c>
      <c r="H550">
        <v>10</v>
      </c>
      <c r="I550">
        <v>35.130000000000003</v>
      </c>
      <c r="J550">
        <v>737.73</v>
      </c>
      <c r="K550" t="s">
        <v>196</v>
      </c>
      <c r="L550" t="s">
        <v>105</v>
      </c>
      <c r="M550" t="s">
        <v>25</v>
      </c>
      <c r="N550">
        <v>702.6</v>
      </c>
      <c r="O550">
        <v>4.7618999999999998</v>
      </c>
      <c r="P550">
        <v>35.130000000000003</v>
      </c>
      <c r="Q550">
        <v>6.8</v>
      </c>
      <c r="R550" s="8">
        <f t="shared" si="8"/>
        <v>43528</v>
      </c>
    </row>
    <row r="551" spans="1:18" x14ac:dyDescent="0.35">
      <c r="A551" t="s">
        <v>799</v>
      </c>
      <c r="B551" t="s">
        <v>68</v>
      </c>
      <c r="C551" t="s">
        <v>69</v>
      </c>
      <c r="D551" t="s">
        <v>27</v>
      </c>
      <c r="E551" t="s">
        <v>21</v>
      </c>
      <c r="F551" t="s">
        <v>61</v>
      </c>
      <c r="G551">
        <v>96.03</v>
      </c>
      <c r="H551">
        <v>2</v>
      </c>
      <c r="I551">
        <v>9.6</v>
      </c>
      <c r="J551">
        <v>201.66</v>
      </c>
      <c r="K551" t="s">
        <v>65</v>
      </c>
      <c r="L551" t="s">
        <v>24</v>
      </c>
      <c r="M551" t="s">
        <v>25</v>
      </c>
      <c r="N551">
        <v>192.06</v>
      </c>
      <c r="O551">
        <v>4.7618999999999998</v>
      </c>
      <c r="P551">
        <v>9.6</v>
      </c>
      <c r="Q551">
        <v>8.6</v>
      </c>
      <c r="R551" s="8">
        <f t="shared" si="8"/>
        <v>43542</v>
      </c>
    </row>
    <row r="552" spans="1:18" x14ac:dyDescent="0.35">
      <c r="A552" t="s">
        <v>800</v>
      </c>
      <c r="B552" t="s">
        <v>37</v>
      </c>
      <c r="C552" t="s">
        <v>38</v>
      </c>
      <c r="D552" t="s">
        <v>27</v>
      </c>
      <c r="E552" t="s">
        <v>21</v>
      </c>
      <c r="F552" t="s">
        <v>28</v>
      </c>
      <c r="G552">
        <v>29.59</v>
      </c>
      <c r="H552">
        <v>3</v>
      </c>
      <c r="I552">
        <v>4.4400000000000004</v>
      </c>
      <c r="J552">
        <v>93.21</v>
      </c>
      <c r="K552" t="s">
        <v>102</v>
      </c>
      <c r="L552" t="s">
        <v>631</v>
      </c>
      <c r="M552" t="s">
        <v>45</v>
      </c>
      <c r="N552">
        <v>88.77</v>
      </c>
      <c r="O552">
        <v>4.7618999999999998</v>
      </c>
      <c r="P552">
        <v>4.4400000000000004</v>
      </c>
      <c r="Q552">
        <v>8</v>
      </c>
      <c r="R552" s="8">
        <f t="shared" si="8"/>
        <v>43540</v>
      </c>
    </row>
    <row r="553" spans="1:18" x14ac:dyDescent="0.35">
      <c r="A553" t="s">
        <v>801</v>
      </c>
      <c r="B553" t="s">
        <v>18</v>
      </c>
      <c r="C553" t="s">
        <v>19</v>
      </c>
      <c r="D553" t="s">
        <v>27</v>
      </c>
      <c r="E553" t="s">
        <v>42</v>
      </c>
      <c r="F553" t="s">
        <v>50</v>
      </c>
      <c r="G553">
        <v>62.01</v>
      </c>
      <c r="H553">
        <v>4</v>
      </c>
      <c r="I553">
        <v>12.4</v>
      </c>
      <c r="J553">
        <v>260.44</v>
      </c>
      <c r="K553" t="s">
        <v>479</v>
      </c>
      <c r="L553" t="s">
        <v>282</v>
      </c>
      <c r="M553" t="s">
        <v>35</v>
      </c>
      <c r="N553">
        <v>248.04</v>
      </c>
      <c r="O553">
        <v>4.7618999999999998</v>
      </c>
      <c r="P553">
        <v>12.4</v>
      </c>
      <c r="Q553">
        <v>7.4</v>
      </c>
      <c r="R553" s="8">
        <f t="shared" si="8"/>
        <v>43492</v>
      </c>
    </row>
    <row r="554" spans="1:18" x14ac:dyDescent="0.35">
      <c r="A554" t="s">
        <v>802</v>
      </c>
      <c r="B554" t="s">
        <v>37</v>
      </c>
      <c r="C554" t="s">
        <v>38</v>
      </c>
      <c r="D554" t="s">
        <v>27</v>
      </c>
      <c r="E554" t="s">
        <v>42</v>
      </c>
      <c r="F554" t="s">
        <v>28</v>
      </c>
      <c r="G554">
        <v>62.45</v>
      </c>
      <c r="H554">
        <v>10</v>
      </c>
      <c r="I554">
        <v>31.23</v>
      </c>
      <c r="J554">
        <v>655.73</v>
      </c>
      <c r="K554" t="s">
        <v>62</v>
      </c>
      <c r="L554" t="s">
        <v>267</v>
      </c>
      <c r="M554" t="s">
        <v>35</v>
      </c>
      <c r="N554">
        <v>624.5</v>
      </c>
      <c r="O554">
        <v>4.7618999999999998</v>
      </c>
      <c r="P554">
        <v>31.23</v>
      </c>
      <c r="Q554">
        <v>4.4000000000000004</v>
      </c>
      <c r="R554" s="8">
        <f t="shared" si="8"/>
        <v>43531</v>
      </c>
    </row>
    <row r="555" spans="1:18" x14ac:dyDescent="0.35">
      <c r="A555" t="s">
        <v>803</v>
      </c>
      <c r="B555" t="s">
        <v>68</v>
      </c>
      <c r="C555" t="s">
        <v>69</v>
      </c>
      <c r="D555" t="s">
        <v>20</v>
      </c>
      <c r="E555" t="s">
        <v>42</v>
      </c>
      <c r="F555" t="s">
        <v>28</v>
      </c>
      <c r="G555">
        <v>87.51</v>
      </c>
      <c r="H555">
        <v>1</v>
      </c>
      <c r="I555">
        <v>4.38</v>
      </c>
      <c r="J555">
        <v>91.89</v>
      </c>
      <c r="K555" t="s">
        <v>164</v>
      </c>
      <c r="L555" t="s">
        <v>91</v>
      </c>
      <c r="M555" t="s">
        <v>25</v>
      </c>
      <c r="N555">
        <v>87.51</v>
      </c>
      <c r="O555">
        <v>4.7618999999999998</v>
      </c>
      <c r="P555">
        <v>4.38</v>
      </c>
      <c r="Q555">
        <v>6.4</v>
      </c>
      <c r="R555" s="8">
        <f t="shared" si="8"/>
        <v>43496</v>
      </c>
    </row>
    <row r="556" spans="1:18" x14ac:dyDescent="0.35">
      <c r="A556" t="s">
        <v>804</v>
      </c>
      <c r="B556" t="s">
        <v>18</v>
      </c>
      <c r="C556" t="s">
        <v>19</v>
      </c>
      <c r="D556" t="s">
        <v>27</v>
      </c>
      <c r="E556" t="s">
        <v>42</v>
      </c>
      <c r="F556" t="s">
        <v>32</v>
      </c>
      <c r="G556">
        <v>49.17</v>
      </c>
      <c r="H556">
        <v>4</v>
      </c>
      <c r="I556">
        <v>9.83</v>
      </c>
      <c r="J556">
        <v>206.51</v>
      </c>
      <c r="K556" t="s">
        <v>78</v>
      </c>
      <c r="L556" t="s">
        <v>71</v>
      </c>
      <c r="M556" t="s">
        <v>45</v>
      </c>
      <c r="N556">
        <v>196.68</v>
      </c>
      <c r="O556">
        <v>4.7618999999999998</v>
      </c>
      <c r="P556">
        <v>9.83</v>
      </c>
      <c r="Q556">
        <v>5.0999999999999996</v>
      </c>
      <c r="R556" s="8">
        <f t="shared" si="8"/>
        <v>43550</v>
      </c>
    </row>
    <row r="557" spans="1:18" x14ac:dyDescent="0.35">
      <c r="A557" t="s">
        <v>805</v>
      </c>
      <c r="B557" t="s">
        <v>37</v>
      </c>
      <c r="C557" t="s">
        <v>38</v>
      </c>
      <c r="D557" t="s">
        <v>27</v>
      </c>
      <c r="E557" t="s">
        <v>21</v>
      </c>
      <c r="F557" t="s">
        <v>61</v>
      </c>
      <c r="G557">
        <v>99.77</v>
      </c>
      <c r="H557">
        <v>3</v>
      </c>
      <c r="I557">
        <v>14.97</v>
      </c>
      <c r="J557">
        <v>314.27999999999997</v>
      </c>
      <c r="K557" t="s">
        <v>23</v>
      </c>
      <c r="L557" t="s">
        <v>122</v>
      </c>
      <c r="M557" t="s">
        <v>25</v>
      </c>
      <c r="N557">
        <v>299.31</v>
      </c>
      <c r="O557">
        <v>4.7618999999999998</v>
      </c>
      <c r="P557">
        <v>14.97</v>
      </c>
      <c r="Q557">
        <v>4.0999999999999996</v>
      </c>
      <c r="R557" s="8">
        <f t="shared" si="8"/>
        <v>43483</v>
      </c>
    </row>
    <row r="558" spans="1:18" x14ac:dyDescent="0.35">
      <c r="A558" t="s">
        <v>806</v>
      </c>
      <c r="B558" t="s">
        <v>37</v>
      </c>
      <c r="C558" t="s">
        <v>38</v>
      </c>
      <c r="D558" t="s">
        <v>27</v>
      </c>
      <c r="E558" t="s">
        <v>21</v>
      </c>
      <c r="F558" t="s">
        <v>28</v>
      </c>
      <c r="G558">
        <v>22.35</v>
      </c>
      <c r="H558">
        <v>7</v>
      </c>
      <c r="I558">
        <v>7.82</v>
      </c>
      <c r="J558">
        <v>164.27</v>
      </c>
      <c r="K558" t="s">
        <v>202</v>
      </c>
      <c r="L558" t="s">
        <v>171</v>
      </c>
      <c r="M558" t="s">
        <v>25</v>
      </c>
      <c r="N558">
        <v>156.44999999999999</v>
      </c>
      <c r="O558">
        <v>4.7618999999999998</v>
      </c>
      <c r="P558">
        <v>7.82</v>
      </c>
      <c r="Q558">
        <v>5.0999999999999996</v>
      </c>
      <c r="R558" s="8">
        <f t="shared" si="8"/>
        <v>43524</v>
      </c>
    </row>
    <row r="559" spans="1:18" x14ac:dyDescent="0.35">
      <c r="A559" t="s">
        <v>807</v>
      </c>
      <c r="B559" t="s">
        <v>37</v>
      </c>
      <c r="C559" t="s">
        <v>38</v>
      </c>
      <c r="D559" t="s">
        <v>27</v>
      </c>
      <c r="E559" t="s">
        <v>42</v>
      </c>
      <c r="F559" t="s">
        <v>61</v>
      </c>
      <c r="G559">
        <v>30.32</v>
      </c>
      <c r="H559">
        <v>7</v>
      </c>
      <c r="I559">
        <v>10.61</v>
      </c>
      <c r="J559">
        <v>222.85</v>
      </c>
      <c r="K559" t="s">
        <v>39</v>
      </c>
      <c r="L559" t="s">
        <v>207</v>
      </c>
      <c r="M559" t="s">
        <v>35</v>
      </c>
      <c r="N559">
        <v>212.24</v>
      </c>
      <c r="O559">
        <v>4.7618999999999998</v>
      </c>
      <c r="P559">
        <v>10.61</v>
      </c>
      <c r="Q559">
        <v>9.1</v>
      </c>
      <c r="R559" s="8">
        <f t="shared" si="8"/>
        <v>43543</v>
      </c>
    </row>
    <row r="560" spans="1:18" x14ac:dyDescent="0.35">
      <c r="A560" t="s">
        <v>808</v>
      </c>
      <c r="B560" t="s">
        <v>18</v>
      </c>
      <c r="C560" t="s">
        <v>19</v>
      </c>
      <c r="D560" t="s">
        <v>27</v>
      </c>
      <c r="E560" t="s">
        <v>42</v>
      </c>
      <c r="F560" t="s">
        <v>50</v>
      </c>
      <c r="G560">
        <v>61.87</v>
      </c>
      <c r="H560">
        <v>1</v>
      </c>
      <c r="I560">
        <v>3.09</v>
      </c>
      <c r="J560">
        <v>64.959999999999994</v>
      </c>
      <c r="K560" t="s">
        <v>231</v>
      </c>
      <c r="L560" t="s">
        <v>234</v>
      </c>
      <c r="M560" t="s">
        <v>25</v>
      </c>
      <c r="N560">
        <v>61.87</v>
      </c>
      <c r="O560">
        <v>4.7618999999999998</v>
      </c>
      <c r="P560">
        <v>3.09</v>
      </c>
      <c r="Q560">
        <v>6.2</v>
      </c>
      <c r="R560" s="8">
        <f t="shared" si="8"/>
        <v>43470</v>
      </c>
    </row>
    <row r="561" spans="1:18" x14ac:dyDescent="0.35">
      <c r="A561" t="s">
        <v>809</v>
      </c>
      <c r="B561" t="s">
        <v>37</v>
      </c>
      <c r="C561" t="s">
        <v>38</v>
      </c>
      <c r="D561" t="s">
        <v>20</v>
      </c>
      <c r="E561" t="s">
        <v>21</v>
      </c>
      <c r="F561" t="s">
        <v>22</v>
      </c>
      <c r="G561">
        <v>75.819999999999993</v>
      </c>
      <c r="H561">
        <v>5</v>
      </c>
      <c r="I561">
        <v>18.96</v>
      </c>
      <c r="J561">
        <v>398.06</v>
      </c>
      <c r="K561" t="s">
        <v>51</v>
      </c>
      <c r="L561" t="s">
        <v>272</v>
      </c>
      <c r="M561" t="s">
        <v>25</v>
      </c>
      <c r="N561">
        <v>379.1</v>
      </c>
      <c r="O561">
        <v>4.7618999999999998</v>
      </c>
      <c r="P561">
        <v>18.96</v>
      </c>
      <c r="Q561">
        <v>9.3000000000000007</v>
      </c>
      <c r="R561" s="8">
        <f t="shared" si="8"/>
        <v>43525</v>
      </c>
    </row>
    <row r="562" spans="1:18" x14ac:dyDescent="0.35">
      <c r="A562" t="s">
        <v>810</v>
      </c>
      <c r="B562" t="s">
        <v>68</v>
      </c>
      <c r="C562" t="s">
        <v>69</v>
      </c>
      <c r="D562" t="s">
        <v>27</v>
      </c>
      <c r="E562" t="s">
        <v>21</v>
      </c>
      <c r="F562" t="s">
        <v>22</v>
      </c>
      <c r="G562">
        <v>67.03</v>
      </c>
      <c r="H562">
        <v>10</v>
      </c>
      <c r="I562">
        <v>33.520000000000003</v>
      </c>
      <c r="J562">
        <v>703.82</v>
      </c>
      <c r="K562" t="s">
        <v>75</v>
      </c>
      <c r="L562" t="s">
        <v>30</v>
      </c>
      <c r="M562" t="s">
        <v>35</v>
      </c>
      <c r="N562">
        <v>670.3</v>
      </c>
      <c r="O562">
        <v>4.7618999999999998</v>
      </c>
      <c r="P562">
        <v>33.520000000000003</v>
      </c>
      <c r="Q562">
        <v>7.2</v>
      </c>
      <c r="R562" s="8">
        <f t="shared" si="8"/>
        <v>43505</v>
      </c>
    </row>
    <row r="563" spans="1:18" x14ac:dyDescent="0.35">
      <c r="A563" t="s">
        <v>811</v>
      </c>
      <c r="B563" t="s">
        <v>37</v>
      </c>
      <c r="C563" t="s">
        <v>38</v>
      </c>
      <c r="D563" t="s">
        <v>27</v>
      </c>
      <c r="E563" t="s">
        <v>42</v>
      </c>
      <c r="F563" t="s">
        <v>50</v>
      </c>
      <c r="G563">
        <v>76.040000000000006</v>
      </c>
      <c r="H563">
        <v>7</v>
      </c>
      <c r="I563">
        <v>26.61</v>
      </c>
      <c r="J563">
        <v>558.89</v>
      </c>
      <c r="K563" t="s">
        <v>127</v>
      </c>
      <c r="L563" t="s">
        <v>203</v>
      </c>
      <c r="M563" t="s">
        <v>45</v>
      </c>
      <c r="N563">
        <v>532.28</v>
      </c>
      <c r="O563">
        <v>4.7618999999999998</v>
      </c>
      <c r="P563">
        <v>26.61</v>
      </c>
      <c r="Q563">
        <v>4.2</v>
      </c>
      <c r="R563" s="8">
        <f t="shared" si="8"/>
        <v>43511</v>
      </c>
    </row>
    <row r="564" spans="1:18" x14ac:dyDescent="0.35">
      <c r="A564" t="s">
        <v>812</v>
      </c>
      <c r="B564" t="s">
        <v>18</v>
      </c>
      <c r="C564" t="s">
        <v>19</v>
      </c>
      <c r="D564" t="s">
        <v>27</v>
      </c>
      <c r="E564" t="s">
        <v>42</v>
      </c>
      <c r="F564" t="s">
        <v>28</v>
      </c>
      <c r="G564">
        <v>66.64</v>
      </c>
      <c r="H564">
        <v>10</v>
      </c>
      <c r="I564">
        <v>33.32</v>
      </c>
      <c r="J564">
        <v>699.72</v>
      </c>
      <c r="K564" t="s">
        <v>175</v>
      </c>
      <c r="L564" t="s">
        <v>30</v>
      </c>
      <c r="M564" t="s">
        <v>25</v>
      </c>
      <c r="N564">
        <v>666.4</v>
      </c>
      <c r="O564">
        <v>4.7618999999999998</v>
      </c>
      <c r="P564">
        <v>33.32</v>
      </c>
      <c r="Q564">
        <v>9.9</v>
      </c>
      <c r="R564" s="8">
        <f t="shared" si="8"/>
        <v>43487</v>
      </c>
    </row>
    <row r="565" spans="1:18" x14ac:dyDescent="0.35">
      <c r="A565" t="s">
        <v>813</v>
      </c>
      <c r="B565" t="s">
        <v>18</v>
      </c>
      <c r="C565" t="s">
        <v>19</v>
      </c>
      <c r="D565" t="s">
        <v>20</v>
      </c>
      <c r="E565" t="s">
        <v>42</v>
      </c>
      <c r="F565" t="s">
        <v>32</v>
      </c>
      <c r="G565">
        <v>17.43</v>
      </c>
      <c r="H565">
        <v>9</v>
      </c>
      <c r="I565">
        <v>7.84</v>
      </c>
      <c r="J565">
        <v>164.71</v>
      </c>
      <c r="K565" t="s">
        <v>85</v>
      </c>
      <c r="L565" t="s">
        <v>203</v>
      </c>
      <c r="M565" t="s">
        <v>45</v>
      </c>
      <c r="N565">
        <v>156.87</v>
      </c>
      <c r="O565">
        <v>4.7618999999999998</v>
      </c>
      <c r="P565">
        <v>7.84</v>
      </c>
      <c r="Q565">
        <v>7.7</v>
      </c>
      <c r="R565" s="8">
        <f t="shared" si="8"/>
        <v>43475</v>
      </c>
    </row>
    <row r="566" spans="1:18" x14ac:dyDescent="0.35">
      <c r="A566" t="s">
        <v>814</v>
      </c>
      <c r="B566" t="s">
        <v>37</v>
      </c>
      <c r="C566" t="s">
        <v>38</v>
      </c>
      <c r="D566" t="s">
        <v>20</v>
      </c>
      <c r="E566" t="s">
        <v>21</v>
      </c>
      <c r="F566" t="s">
        <v>50</v>
      </c>
      <c r="G566">
        <v>25.72</v>
      </c>
      <c r="H566">
        <v>10</v>
      </c>
      <c r="I566">
        <v>12.86</v>
      </c>
      <c r="J566">
        <v>270.06</v>
      </c>
      <c r="K566" t="s">
        <v>477</v>
      </c>
      <c r="L566" t="s">
        <v>491</v>
      </c>
      <c r="M566" t="s">
        <v>35</v>
      </c>
      <c r="N566">
        <v>257.2</v>
      </c>
      <c r="O566">
        <v>4.7618999999999998</v>
      </c>
      <c r="P566">
        <v>12.86</v>
      </c>
      <c r="Q566">
        <v>8.8000000000000007</v>
      </c>
      <c r="R566" s="8">
        <f t="shared" si="8"/>
        <v>43485</v>
      </c>
    </row>
    <row r="567" spans="1:18" x14ac:dyDescent="0.35">
      <c r="A567" t="s">
        <v>815</v>
      </c>
      <c r="B567" t="s">
        <v>18</v>
      </c>
      <c r="C567" t="s">
        <v>19</v>
      </c>
      <c r="D567" t="s">
        <v>20</v>
      </c>
      <c r="E567" t="s">
        <v>42</v>
      </c>
      <c r="F567" t="s">
        <v>54</v>
      </c>
      <c r="G567">
        <v>81.94</v>
      </c>
      <c r="H567">
        <v>1</v>
      </c>
      <c r="I567">
        <v>4.0999999999999996</v>
      </c>
      <c r="J567">
        <v>86.04</v>
      </c>
      <c r="K567" t="s">
        <v>240</v>
      </c>
      <c r="L567" t="s">
        <v>463</v>
      </c>
      <c r="M567" t="s">
        <v>25</v>
      </c>
      <c r="N567">
        <v>81.94</v>
      </c>
      <c r="O567">
        <v>4.7618999999999998</v>
      </c>
      <c r="P567">
        <v>4.0999999999999996</v>
      </c>
      <c r="Q567">
        <v>9.6</v>
      </c>
      <c r="R567" s="8">
        <f t="shared" si="8"/>
        <v>43509</v>
      </c>
    </row>
    <row r="568" spans="1:18" x14ac:dyDescent="0.35">
      <c r="A568" t="s">
        <v>816</v>
      </c>
      <c r="B568" t="s">
        <v>37</v>
      </c>
      <c r="C568" t="s">
        <v>38</v>
      </c>
      <c r="D568" t="s">
        <v>27</v>
      </c>
      <c r="E568" t="s">
        <v>42</v>
      </c>
      <c r="F568" t="s">
        <v>54</v>
      </c>
      <c r="G568">
        <v>69.459999999999994</v>
      </c>
      <c r="H568">
        <v>3</v>
      </c>
      <c r="I568">
        <v>10.42</v>
      </c>
      <c r="J568">
        <v>218.8</v>
      </c>
      <c r="K568" t="s">
        <v>479</v>
      </c>
      <c r="L568" t="s">
        <v>435</v>
      </c>
      <c r="M568" t="s">
        <v>35</v>
      </c>
      <c r="N568">
        <v>208.38</v>
      </c>
      <c r="O568">
        <v>4.7618999999999998</v>
      </c>
      <c r="P568">
        <v>10.42</v>
      </c>
      <c r="Q568">
        <v>4.3</v>
      </c>
      <c r="R568" s="8">
        <f t="shared" si="8"/>
        <v>43492</v>
      </c>
    </row>
    <row r="569" spans="1:18" x14ac:dyDescent="0.35">
      <c r="A569" t="s">
        <v>817</v>
      </c>
      <c r="B569" t="s">
        <v>68</v>
      </c>
      <c r="C569" t="s">
        <v>69</v>
      </c>
      <c r="D569" t="s">
        <v>20</v>
      </c>
      <c r="E569" t="s">
        <v>21</v>
      </c>
      <c r="F569" t="s">
        <v>32</v>
      </c>
      <c r="G569">
        <v>45.89</v>
      </c>
      <c r="H569">
        <v>5</v>
      </c>
      <c r="I569">
        <v>11.47</v>
      </c>
      <c r="J569">
        <v>240.92</v>
      </c>
      <c r="K569" t="s">
        <v>226</v>
      </c>
      <c r="L569" t="s">
        <v>83</v>
      </c>
      <c r="M569" t="s">
        <v>35</v>
      </c>
      <c r="N569">
        <v>229.45</v>
      </c>
      <c r="O569">
        <v>4.7618999999999998</v>
      </c>
      <c r="P569">
        <v>11.47</v>
      </c>
      <c r="Q569">
        <v>8.1</v>
      </c>
      <c r="R569" s="8">
        <f t="shared" si="8"/>
        <v>43526</v>
      </c>
    </row>
    <row r="570" spans="1:18" x14ac:dyDescent="0.35">
      <c r="A570" t="s">
        <v>818</v>
      </c>
      <c r="B570" t="s">
        <v>37</v>
      </c>
      <c r="C570" t="s">
        <v>38</v>
      </c>
      <c r="D570" t="s">
        <v>27</v>
      </c>
      <c r="E570" t="s">
        <v>21</v>
      </c>
      <c r="F570" t="s">
        <v>50</v>
      </c>
      <c r="G570">
        <v>88.32</v>
      </c>
      <c r="H570">
        <v>1</v>
      </c>
      <c r="I570">
        <v>4.42</v>
      </c>
      <c r="J570">
        <v>92.74</v>
      </c>
      <c r="K570" t="s">
        <v>216</v>
      </c>
      <c r="L570" t="s">
        <v>307</v>
      </c>
      <c r="M570" t="s">
        <v>25</v>
      </c>
      <c r="N570">
        <v>88.32</v>
      </c>
      <c r="O570">
        <v>4.7618999999999998</v>
      </c>
      <c r="P570">
        <v>4.42</v>
      </c>
      <c r="Q570">
        <v>5.9</v>
      </c>
      <c r="R570" s="8">
        <f t="shared" si="8"/>
        <v>43502</v>
      </c>
    </row>
    <row r="571" spans="1:18" x14ac:dyDescent="0.35">
      <c r="A571" t="s">
        <v>819</v>
      </c>
      <c r="B571" t="s">
        <v>18</v>
      </c>
      <c r="C571" t="s">
        <v>19</v>
      </c>
      <c r="D571" t="s">
        <v>20</v>
      </c>
      <c r="E571" t="s">
        <v>21</v>
      </c>
      <c r="F571" t="s">
        <v>50</v>
      </c>
      <c r="G571">
        <v>67.37</v>
      </c>
      <c r="H571">
        <v>7</v>
      </c>
      <c r="I571">
        <v>23.58</v>
      </c>
      <c r="J571">
        <v>495.17</v>
      </c>
      <c r="K571" t="s">
        <v>191</v>
      </c>
      <c r="L571" t="s">
        <v>110</v>
      </c>
      <c r="M571" t="s">
        <v>35</v>
      </c>
      <c r="N571">
        <v>471.59</v>
      </c>
      <c r="O571">
        <v>4.7618999999999998</v>
      </c>
      <c r="P571">
        <v>23.58</v>
      </c>
      <c r="Q571">
        <v>5.6</v>
      </c>
      <c r="R571" s="8">
        <f t="shared" si="8"/>
        <v>43544</v>
      </c>
    </row>
    <row r="572" spans="1:18" x14ac:dyDescent="0.35">
      <c r="A572" t="s">
        <v>820</v>
      </c>
      <c r="B572" t="s">
        <v>68</v>
      </c>
      <c r="C572" t="s">
        <v>69</v>
      </c>
      <c r="D572" t="s">
        <v>27</v>
      </c>
      <c r="E572" t="s">
        <v>42</v>
      </c>
      <c r="F572" t="s">
        <v>32</v>
      </c>
      <c r="G572">
        <v>79.58</v>
      </c>
      <c r="H572">
        <v>4</v>
      </c>
      <c r="I572">
        <v>15.92</v>
      </c>
      <c r="J572">
        <v>334.24</v>
      </c>
      <c r="K572" t="s">
        <v>274</v>
      </c>
      <c r="L572" t="s">
        <v>143</v>
      </c>
      <c r="M572" t="s">
        <v>25</v>
      </c>
      <c r="N572">
        <v>318.32</v>
      </c>
      <c r="O572">
        <v>4.7618999999999998</v>
      </c>
      <c r="P572">
        <v>15.92</v>
      </c>
      <c r="Q572">
        <v>6</v>
      </c>
      <c r="R572" s="8">
        <f t="shared" si="8"/>
        <v>43552</v>
      </c>
    </row>
    <row r="573" spans="1:18" x14ac:dyDescent="0.35">
      <c r="A573" t="s">
        <v>821</v>
      </c>
      <c r="B573" t="s">
        <v>68</v>
      </c>
      <c r="C573" t="s">
        <v>69</v>
      </c>
      <c r="D573" t="s">
        <v>27</v>
      </c>
      <c r="E573" t="s">
        <v>21</v>
      </c>
      <c r="F573" t="s">
        <v>22</v>
      </c>
      <c r="G573">
        <v>10.76</v>
      </c>
      <c r="H573">
        <v>2</v>
      </c>
      <c r="I573">
        <v>1.08</v>
      </c>
      <c r="J573">
        <v>22.6</v>
      </c>
      <c r="K573" t="s">
        <v>415</v>
      </c>
      <c r="L573" t="s">
        <v>277</v>
      </c>
      <c r="M573" t="s">
        <v>25</v>
      </c>
      <c r="N573">
        <v>21.52</v>
      </c>
      <c r="O573">
        <v>4.7618999999999998</v>
      </c>
      <c r="P573">
        <v>1.08</v>
      </c>
      <c r="Q573">
        <v>4.5999999999999996</v>
      </c>
      <c r="R573" s="8">
        <f t="shared" si="8"/>
        <v>43467</v>
      </c>
    </row>
    <row r="574" spans="1:18" x14ac:dyDescent="0.35">
      <c r="A574" t="s">
        <v>822</v>
      </c>
      <c r="B574" t="s">
        <v>37</v>
      </c>
      <c r="C574" t="s">
        <v>38</v>
      </c>
      <c r="D574" t="s">
        <v>20</v>
      </c>
      <c r="E574" t="s">
        <v>42</v>
      </c>
      <c r="F574" t="s">
        <v>61</v>
      </c>
      <c r="G574">
        <v>27.38</v>
      </c>
      <c r="H574">
        <v>1</v>
      </c>
      <c r="I574">
        <v>1.37</v>
      </c>
      <c r="J574">
        <v>28.75</v>
      </c>
      <c r="K574" t="s">
        <v>145</v>
      </c>
      <c r="L574" t="s">
        <v>305</v>
      </c>
      <c r="M574" t="s">
        <v>25</v>
      </c>
      <c r="N574">
        <v>27.38</v>
      </c>
      <c r="O574">
        <v>4.7618999999999998</v>
      </c>
      <c r="P574">
        <v>1.37</v>
      </c>
      <c r="Q574">
        <v>7.9</v>
      </c>
      <c r="R574" s="8">
        <f t="shared" si="8"/>
        <v>43545</v>
      </c>
    </row>
    <row r="575" spans="1:18" x14ac:dyDescent="0.35">
      <c r="A575" t="s">
        <v>823</v>
      </c>
      <c r="B575" t="s">
        <v>68</v>
      </c>
      <c r="C575" t="s">
        <v>69</v>
      </c>
      <c r="D575" t="s">
        <v>20</v>
      </c>
      <c r="E575" t="s">
        <v>21</v>
      </c>
      <c r="F575" t="s">
        <v>28</v>
      </c>
      <c r="G575">
        <v>87.08</v>
      </c>
      <c r="H575">
        <v>3</v>
      </c>
      <c r="I575">
        <v>13.06</v>
      </c>
      <c r="J575">
        <v>274.3</v>
      </c>
      <c r="K575" t="s">
        <v>425</v>
      </c>
      <c r="L575" t="s">
        <v>352</v>
      </c>
      <c r="M575" t="s">
        <v>25</v>
      </c>
      <c r="N575">
        <v>261.24</v>
      </c>
      <c r="O575">
        <v>4.7618999999999998</v>
      </c>
      <c r="P575">
        <v>13.06</v>
      </c>
      <c r="Q575">
        <v>8.8000000000000007</v>
      </c>
      <c r="R575" s="8">
        <f t="shared" si="8"/>
        <v>43514</v>
      </c>
    </row>
    <row r="576" spans="1:18" x14ac:dyDescent="0.35">
      <c r="A576" t="s">
        <v>824</v>
      </c>
      <c r="B576" t="s">
        <v>68</v>
      </c>
      <c r="C576" t="s">
        <v>69</v>
      </c>
      <c r="D576" t="s">
        <v>20</v>
      </c>
      <c r="E576" t="s">
        <v>42</v>
      </c>
      <c r="F576" t="s">
        <v>61</v>
      </c>
      <c r="G576">
        <v>52.03</v>
      </c>
      <c r="H576">
        <v>2</v>
      </c>
      <c r="I576">
        <v>5.2</v>
      </c>
      <c r="J576">
        <v>109.26</v>
      </c>
      <c r="K576" t="s">
        <v>47</v>
      </c>
      <c r="L576" t="s">
        <v>100</v>
      </c>
      <c r="M576" t="s">
        <v>35</v>
      </c>
      <c r="N576">
        <v>104.06</v>
      </c>
      <c r="O576">
        <v>4.7618999999999998</v>
      </c>
      <c r="P576">
        <v>5.2</v>
      </c>
      <c r="Q576">
        <v>8.1999999999999993</v>
      </c>
      <c r="R576" s="8">
        <f t="shared" si="8"/>
        <v>43547</v>
      </c>
    </row>
    <row r="577" spans="1:18" x14ac:dyDescent="0.35">
      <c r="A577" t="s">
        <v>825</v>
      </c>
      <c r="B577" t="s">
        <v>37</v>
      </c>
      <c r="C577" t="s">
        <v>38</v>
      </c>
      <c r="D577" t="s">
        <v>27</v>
      </c>
      <c r="E577" t="s">
        <v>21</v>
      </c>
      <c r="F577" t="s">
        <v>28</v>
      </c>
      <c r="G577">
        <v>34.96</v>
      </c>
      <c r="H577">
        <v>1</v>
      </c>
      <c r="I577">
        <v>1.75</v>
      </c>
      <c r="J577">
        <v>36.71</v>
      </c>
      <c r="K577" t="s">
        <v>425</v>
      </c>
      <c r="L577" t="s">
        <v>34</v>
      </c>
      <c r="M577" t="s">
        <v>45</v>
      </c>
      <c r="N577">
        <v>34.96</v>
      </c>
      <c r="O577">
        <v>4.7618999999999998</v>
      </c>
      <c r="P577">
        <v>1.75</v>
      </c>
      <c r="Q577">
        <v>5.5</v>
      </c>
      <c r="R577" s="8">
        <f t="shared" si="8"/>
        <v>43514</v>
      </c>
    </row>
    <row r="578" spans="1:18" x14ac:dyDescent="0.35">
      <c r="A578" t="s">
        <v>826</v>
      </c>
      <c r="B578" t="s">
        <v>37</v>
      </c>
      <c r="C578" t="s">
        <v>38</v>
      </c>
      <c r="D578" t="s">
        <v>20</v>
      </c>
      <c r="E578" t="s">
        <v>42</v>
      </c>
      <c r="F578" t="s">
        <v>28</v>
      </c>
      <c r="G578">
        <v>54.25</v>
      </c>
      <c r="H578">
        <v>4</v>
      </c>
      <c r="I578">
        <v>10.85</v>
      </c>
      <c r="J578">
        <v>227.85</v>
      </c>
      <c r="K578" t="s">
        <v>191</v>
      </c>
      <c r="L578" t="s">
        <v>267</v>
      </c>
      <c r="M578" t="s">
        <v>25</v>
      </c>
      <c r="N578">
        <v>217</v>
      </c>
      <c r="O578">
        <v>4.7618999999999998</v>
      </c>
      <c r="P578">
        <v>10.85</v>
      </c>
      <c r="Q578">
        <v>7</v>
      </c>
      <c r="R578" s="8">
        <f t="shared" si="8"/>
        <v>43544</v>
      </c>
    </row>
    <row r="579" spans="1:18" x14ac:dyDescent="0.35">
      <c r="A579" t="s">
        <v>827</v>
      </c>
      <c r="B579" t="s">
        <v>18</v>
      </c>
      <c r="C579" t="s">
        <v>19</v>
      </c>
      <c r="D579" t="s">
        <v>27</v>
      </c>
      <c r="E579" t="s">
        <v>21</v>
      </c>
      <c r="F579" t="s">
        <v>50</v>
      </c>
      <c r="G579">
        <v>67.900000000000006</v>
      </c>
      <c r="H579">
        <v>8</v>
      </c>
      <c r="I579">
        <v>27.16</v>
      </c>
      <c r="J579">
        <v>570.36</v>
      </c>
      <c r="K579" t="s">
        <v>99</v>
      </c>
      <c r="L579" t="s">
        <v>305</v>
      </c>
      <c r="M579" t="s">
        <v>45</v>
      </c>
      <c r="N579">
        <v>543.20000000000005</v>
      </c>
      <c r="O579">
        <v>4.7618999999999998</v>
      </c>
      <c r="P579">
        <v>27.16</v>
      </c>
      <c r="Q579">
        <v>4.4000000000000004</v>
      </c>
      <c r="R579" s="8">
        <f t="shared" ref="R579:R642" si="9">DATEVALUE(K579)</f>
        <v>43499</v>
      </c>
    </row>
    <row r="580" spans="1:18" x14ac:dyDescent="0.35">
      <c r="A580" t="s">
        <v>828</v>
      </c>
      <c r="B580" t="s">
        <v>37</v>
      </c>
      <c r="C580" t="s">
        <v>38</v>
      </c>
      <c r="D580" t="s">
        <v>27</v>
      </c>
      <c r="E580" t="s">
        <v>21</v>
      </c>
      <c r="F580" t="s">
        <v>32</v>
      </c>
      <c r="G580">
        <v>23.4</v>
      </c>
      <c r="H580">
        <v>1</v>
      </c>
      <c r="I580">
        <v>1.17</v>
      </c>
      <c r="J580">
        <v>24.57</v>
      </c>
      <c r="K580" t="s">
        <v>231</v>
      </c>
      <c r="L580" t="s">
        <v>119</v>
      </c>
      <c r="M580" t="s">
        <v>35</v>
      </c>
      <c r="N580">
        <v>23.4</v>
      </c>
      <c r="O580">
        <v>4.7618999999999998</v>
      </c>
      <c r="P580">
        <v>1.17</v>
      </c>
      <c r="Q580">
        <v>4.9000000000000004</v>
      </c>
      <c r="R580" s="8">
        <f t="shared" si="9"/>
        <v>43470</v>
      </c>
    </row>
    <row r="581" spans="1:18" x14ac:dyDescent="0.35">
      <c r="A581" t="s">
        <v>829</v>
      </c>
      <c r="B581" t="s">
        <v>37</v>
      </c>
      <c r="C581" t="s">
        <v>38</v>
      </c>
      <c r="D581" t="s">
        <v>20</v>
      </c>
      <c r="E581" t="s">
        <v>42</v>
      </c>
      <c r="F581" t="s">
        <v>32</v>
      </c>
      <c r="G581">
        <v>49.25</v>
      </c>
      <c r="H581">
        <v>2</v>
      </c>
      <c r="I581">
        <v>4.93</v>
      </c>
      <c r="J581">
        <v>103.43</v>
      </c>
      <c r="K581" t="s">
        <v>281</v>
      </c>
      <c r="L581" t="s">
        <v>76</v>
      </c>
      <c r="M581" t="s">
        <v>35</v>
      </c>
      <c r="N581">
        <v>98.5</v>
      </c>
      <c r="O581">
        <v>4.7618999999999998</v>
      </c>
      <c r="P581">
        <v>4.93</v>
      </c>
      <c r="Q581">
        <v>9.6999999999999993</v>
      </c>
      <c r="R581" s="8">
        <f t="shared" si="9"/>
        <v>43535</v>
      </c>
    </row>
    <row r="582" spans="1:18" x14ac:dyDescent="0.35">
      <c r="A582" t="s">
        <v>830</v>
      </c>
      <c r="B582" t="s">
        <v>37</v>
      </c>
      <c r="C582" t="s">
        <v>38</v>
      </c>
      <c r="D582" t="s">
        <v>20</v>
      </c>
      <c r="E582" t="s">
        <v>42</v>
      </c>
      <c r="F582" t="s">
        <v>61</v>
      </c>
      <c r="G582">
        <v>71.37</v>
      </c>
      <c r="H582">
        <v>7</v>
      </c>
      <c r="I582">
        <v>24.98</v>
      </c>
      <c r="J582">
        <v>524.57000000000005</v>
      </c>
      <c r="K582" t="s">
        <v>90</v>
      </c>
      <c r="L582" t="s">
        <v>352</v>
      </c>
      <c r="M582" t="s">
        <v>45</v>
      </c>
      <c r="N582">
        <v>499.59</v>
      </c>
      <c r="O582">
        <v>4.7618999999999998</v>
      </c>
      <c r="P582">
        <v>24.98</v>
      </c>
      <c r="Q582">
        <v>6.2</v>
      </c>
      <c r="R582" s="8">
        <f t="shared" si="9"/>
        <v>43473</v>
      </c>
    </row>
    <row r="583" spans="1:18" x14ac:dyDescent="0.35">
      <c r="A583" t="s">
        <v>831</v>
      </c>
      <c r="B583" t="s">
        <v>37</v>
      </c>
      <c r="C583" t="s">
        <v>38</v>
      </c>
      <c r="D583" t="s">
        <v>20</v>
      </c>
      <c r="E583" t="s">
        <v>42</v>
      </c>
      <c r="F583" t="s">
        <v>61</v>
      </c>
      <c r="G583">
        <v>68.3</v>
      </c>
      <c r="H583">
        <v>3</v>
      </c>
      <c r="I583">
        <v>10.25</v>
      </c>
      <c r="J583">
        <v>215.15</v>
      </c>
      <c r="K583" t="s">
        <v>116</v>
      </c>
      <c r="L583" t="s">
        <v>350</v>
      </c>
      <c r="M583" t="s">
        <v>25</v>
      </c>
      <c r="N583">
        <v>204.9</v>
      </c>
      <c r="O583">
        <v>4.7618999999999998</v>
      </c>
      <c r="P583">
        <v>10.25</v>
      </c>
      <c r="Q583">
        <v>5.0999999999999996</v>
      </c>
      <c r="R583" s="8">
        <f t="shared" si="9"/>
        <v>43536</v>
      </c>
    </row>
    <row r="584" spans="1:18" x14ac:dyDescent="0.35">
      <c r="A584" t="s">
        <v>832</v>
      </c>
      <c r="B584" t="s">
        <v>37</v>
      </c>
      <c r="C584" t="s">
        <v>38</v>
      </c>
      <c r="D584" t="s">
        <v>20</v>
      </c>
      <c r="E584" t="s">
        <v>42</v>
      </c>
      <c r="F584" t="s">
        <v>32</v>
      </c>
      <c r="G584">
        <v>17.64</v>
      </c>
      <c r="H584">
        <v>8</v>
      </c>
      <c r="I584">
        <v>7.06</v>
      </c>
      <c r="J584">
        <v>148.18</v>
      </c>
      <c r="K584" t="s">
        <v>87</v>
      </c>
      <c r="L584" t="s">
        <v>154</v>
      </c>
      <c r="M584" t="s">
        <v>45</v>
      </c>
      <c r="N584">
        <v>141.12</v>
      </c>
      <c r="O584">
        <v>4.7618999999999998</v>
      </c>
      <c r="P584">
        <v>7.06</v>
      </c>
      <c r="Q584">
        <v>4.2</v>
      </c>
      <c r="R584" s="8">
        <f t="shared" si="9"/>
        <v>43490</v>
      </c>
    </row>
    <row r="585" spans="1:18" x14ac:dyDescent="0.35">
      <c r="A585" t="s">
        <v>833</v>
      </c>
      <c r="B585" t="s">
        <v>68</v>
      </c>
      <c r="C585" t="s">
        <v>69</v>
      </c>
      <c r="D585" t="s">
        <v>27</v>
      </c>
      <c r="E585" t="s">
        <v>42</v>
      </c>
      <c r="F585" t="s">
        <v>28</v>
      </c>
      <c r="G585">
        <v>81.349999999999994</v>
      </c>
      <c r="H585">
        <v>5</v>
      </c>
      <c r="I585">
        <v>20.34</v>
      </c>
      <c r="J585">
        <v>427.09</v>
      </c>
      <c r="K585" t="s">
        <v>521</v>
      </c>
      <c r="L585" t="s">
        <v>192</v>
      </c>
      <c r="M585" t="s">
        <v>45</v>
      </c>
      <c r="N585">
        <v>406.75</v>
      </c>
      <c r="O585">
        <v>4.7618999999999998</v>
      </c>
      <c r="P585">
        <v>20.34</v>
      </c>
      <c r="Q585">
        <v>4.2</v>
      </c>
      <c r="R585" s="8">
        <f t="shared" si="9"/>
        <v>43529</v>
      </c>
    </row>
    <row r="586" spans="1:18" x14ac:dyDescent="0.35">
      <c r="A586" t="s">
        <v>834</v>
      </c>
      <c r="B586" t="s">
        <v>37</v>
      </c>
      <c r="C586" t="s">
        <v>38</v>
      </c>
      <c r="D586" t="s">
        <v>20</v>
      </c>
      <c r="E586" t="s">
        <v>42</v>
      </c>
      <c r="F586" t="s">
        <v>28</v>
      </c>
      <c r="G586">
        <v>29.05</v>
      </c>
      <c r="H586">
        <v>9</v>
      </c>
      <c r="I586">
        <v>13.07</v>
      </c>
      <c r="J586">
        <v>274.52</v>
      </c>
      <c r="K586" t="s">
        <v>202</v>
      </c>
      <c r="L586" t="s">
        <v>289</v>
      </c>
      <c r="M586" t="s">
        <v>45</v>
      </c>
      <c r="N586">
        <v>261.45</v>
      </c>
      <c r="O586">
        <v>4.7618999999999998</v>
      </c>
      <c r="P586">
        <v>13.07</v>
      </c>
      <c r="Q586">
        <v>8.4</v>
      </c>
      <c r="R586" s="8">
        <f t="shared" si="9"/>
        <v>43524</v>
      </c>
    </row>
    <row r="587" spans="1:18" x14ac:dyDescent="0.35">
      <c r="A587" t="s">
        <v>835</v>
      </c>
      <c r="B587" t="s">
        <v>68</v>
      </c>
      <c r="C587" t="s">
        <v>69</v>
      </c>
      <c r="D587" t="s">
        <v>20</v>
      </c>
      <c r="E587" t="s">
        <v>21</v>
      </c>
      <c r="F587" t="s">
        <v>32</v>
      </c>
      <c r="G587">
        <v>68.84</v>
      </c>
      <c r="H587">
        <v>8</v>
      </c>
      <c r="I587">
        <v>27.54</v>
      </c>
      <c r="J587">
        <v>578.26</v>
      </c>
      <c r="K587" t="s">
        <v>145</v>
      </c>
      <c r="L587" t="s">
        <v>430</v>
      </c>
      <c r="M587" t="s">
        <v>25</v>
      </c>
      <c r="N587">
        <v>550.72</v>
      </c>
      <c r="O587">
        <v>4.7618999999999998</v>
      </c>
      <c r="P587">
        <v>27.54</v>
      </c>
      <c r="Q587">
        <v>7.9</v>
      </c>
      <c r="R587" s="8">
        <f t="shared" si="9"/>
        <v>43545</v>
      </c>
    </row>
    <row r="588" spans="1:18" x14ac:dyDescent="0.35">
      <c r="A588" t="s">
        <v>836</v>
      </c>
      <c r="B588" t="s">
        <v>68</v>
      </c>
      <c r="C588" t="s">
        <v>69</v>
      </c>
      <c r="D588" t="s">
        <v>20</v>
      </c>
      <c r="E588" t="s">
        <v>42</v>
      </c>
      <c r="F588" t="s">
        <v>28</v>
      </c>
      <c r="G588">
        <v>51.06</v>
      </c>
      <c r="H588">
        <v>3</v>
      </c>
      <c r="I588">
        <v>7.66</v>
      </c>
      <c r="J588">
        <v>160.84</v>
      </c>
      <c r="K588" t="s">
        <v>82</v>
      </c>
      <c r="L588" t="s">
        <v>88</v>
      </c>
      <c r="M588" t="s">
        <v>45</v>
      </c>
      <c r="N588">
        <v>153.18</v>
      </c>
      <c r="O588">
        <v>4.7618999999999998</v>
      </c>
      <c r="P588">
        <v>7.66</v>
      </c>
      <c r="Q588">
        <v>7</v>
      </c>
      <c r="R588" s="8">
        <f t="shared" si="9"/>
        <v>43541</v>
      </c>
    </row>
    <row r="589" spans="1:18" x14ac:dyDescent="0.35">
      <c r="A589" t="s">
        <v>837</v>
      </c>
      <c r="B589" t="s">
        <v>18</v>
      </c>
      <c r="C589" t="s">
        <v>19</v>
      </c>
      <c r="D589" t="s">
        <v>20</v>
      </c>
      <c r="E589" t="s">
        <v>21</v>
      </c>
      <c r="F589" t="s">
        <v>54</v>
      </c>
      <c r="G589">
        <v>48.36</v>
      </c>
      <c r="H589">
        <v>7</v>
      </c>
      <c r="I589">
        <v>16.93</v>
      </c>
      <c r="J589">
        <v>355.45</v>
      </c>
      <c r="K589" t="s">
        <v>266</v>
      </c>
      <c r="L589" t="s">
        <v>24</v>
      </c>
      <c r="M589" t="s">
        <v>25</v>
      </c>
      <c r="N589">
        <v>338.52</v>
      </c>
      <c r="O589">
        <v>4.7618999999999998</v>
      </c>
      <c r="P589">
        <v>16.93</v>
      </c>
      <c r="Q589">
        <v>7.3</v>
      </c>
      <c r="R589" s="8">
        <f t="shared" si="9"/>
        <v>43507</v>
      </c>
    </row>
    <row r="590" spans="1:18" x14ac:dyDescent="0.35">
      <c r="A590" t="s">
        <v>838</v>
      </c>
      <c r="B590" t="s">
        <v>68</v>
      </c>
      <c r="C590" t="s">
        <v>69</v>
      </c>
      <c r="D590" t="s">
        <v>20</v>
      </c>
      <c r="E590" t="s">
        <v>21</v>
      </c>
      <c r="F590" t="s">
        <v>61</v>
      </c>
      <c r="G590">
        <v>15.69</v>
      </c>
      <c r="H590">
        <v>5</v>
      </c>
      <c r="I590">
        <v>3.92</v>
      </c>
      <c r="J590">
        <v>82.37</v>
      </c>
      <c r="K590" t="s">
        <v>58</v>
      </c>
      <c r="L590" t="s">
        <v>267</v>
      </c>
      <c r="M590" t="s">
        <v>25</v>
      </c>
      <c r="N590">
        <v>78.45</v>
      </c>
      <c r="O590">
        <v>4.7618999999999998</v>
      </c>
      <c r="P590">
        <v>3.92</v>
      </c>
      <c r="Q590">
        <v>6.2</v>
      </c>
      <c r="R590" s="8">
        <f t="shared" si="9"/>
        <v>43484</v>
      </c>
    </row>
    <row r="591" spans="1:18" x14ac:dyDescent="0.35">
      <c r="A591" t="s">
        <v>839</v>
      </c>
      <c r="B591" t="s">
        <v>37</v>
      </c>
      <c r="C591" t="s">
        <v>38</v>
      </c>
      <c r="D591" t="s">
        <v>20</v>
      </c>
      <c r="E591" t="s">
        <v>21</v>
      </c>
      <c r="F591" t="s">
        <v>54</v>
      </c>
      <c r="G591">
        <v>19</v>
      </c>
      <c r="H591">
        <v>10</v>
      </c>
      <c r="I591">
        <v>9.5</v>
      </c>
      <c r="J591">
        <v>199.5</v>
      </c>
      <c r="K591" t="s">
        <v>425</v>
      </c>
      <c r="L591" t="s">
        <v>154</v>
      </c>
      <c r="M591" t="s">
        <v>35</v>
      </c>
      <c r="N591">
        <v>190</v>
      </c>
      <c r="O591">
        <v>4.7618999999999998</v>
      </c>
      <c r="P591">
        <v>9.5</v>
      </c>
      <c r="Q591">
        <v>4.5</v>
      </c>
      <c r="R591" s="8">
        <f t="shared" si="9"/>
        <v>43514</v>
      </c>
    </row>
    <row r="592" spans="1:18" x14ac:dyDescent="0.35">
      <c r="A592" t="s">
        <v>840</v>
      </c>
      <c r="B592" t="s">
        <v>68</v>
      </c>
      <c r="C592" t="s">
        <v>69</v>
      </c>
      <c r="D592" t="s">
        <v>20</v>
      </c>
      <c r="E592" t="s">
        <v>42</v>
      </c>
      <c r="F592" t="s">
        <v>32</v>
      </c>
      <c r="G592">
        <v>72.42</v>
      </c>
      <c r="H592">
        <v>8</v>
      </c>
      <c r="I592">
        <v>28.97</v>
      </c>
      <c r="J592">
        <v>608.33000000000004</v>
      </c>
      <c r="K592" t="s">
        <v>470</v>
      </c>
      <c r="L592" t="s">
        <v>148</v>
      </c>
      <c r="M592" t="s">
        <v>45</v>
      </c>
      <c r="N592">
        <v>579.36</v>
      </c>
      <c r="O592">
        <v>4.7618999999999998</v>
      </c>
      <c r="P592">
        <v>28.97</v>
      </c>
      <c r="Q592">
        <v>7.8</v>
      </c>
      <c r="R592" s="8">
        <f t="shared" si="9"/>
        <v>43554</v>
      </c>
    </row>
    <row r="593" spans="1:18" x14ac:dyDescent="0.35">
      <c r="A593" t="s">
        <v>841</v>
      </c>
      <c r="B593" t="s">
        <v>37</v>
      </c>
      <c r="C593" t="s">
        <v>38</v>
      </c>
      <c r="D593" t="s">
        <v>27</v>
      </c>
      <c r="E593" t="s">
        <v>21</v>
      </c>
      <c r="F593" t="s">
        <v>54</v>
      </c>
      <c r="G593">
        <v>64.95</v>
      </c>
      <c r="H593">
        <v>1</v>
      </c>
      <c r="I593">
        <v>3.25</v>
      </c>
      <c r="J593">
        <v>68.2</v>
      </c>
      <c r="K593" t="s">
        <v>65</v>
      </c>
      <c r="L593" t="s">
        <v>427</v>
      </c>
      <c r="M593" t="s">
        <v>35</v>
      </c>
      <c r="N593">
        <v>64.95</v>
      </c>
      <c r="O593">
        <v>4.7618999999999998</v>
      </c>
      <c r="P593">
        <v>3.25</v>
      </c>
      <c r="Q593">
        <v>7.7</v>
      </c>
      <c r="R593" s="8">
        <f t="shared" si="9"/>
        <v>43542</v>
      </c>
    </row>
    <row r="594" spans="1:18" x14ac:dyDescent="0.35">
      <c r="A594" t="s">
        <v>842</v>
      </c>
      <c r="B594" t="s">
        <v>18</v>
      </c>
      <c r="C594" t="s">
        <v>19</v>
      </c>
      <c r="D594" t="s">
        <v>27</v>
      </c>
      <c r="E594" t="s">
        <v>42</v>
      </c>
      <c r="F594" t="s">
        <v>32</v>
      </c>
      <c r="G594">
        <v>10.41</v>
      </c>
      <c r="H594">
        <v>4</v>
      </c>
      <c r="I594">
        <v>2.08</v>
      </c>
      <c r="J594">
        <v>43.72</v>
      </c>
      <c r="K594" t="s">
        <v>87</v>
      </c>
      <c r="L594" t="s">
        <v>843</v>
      </c>
      <c r="M594" t="s">
        <v>45</v>
      </c>
      <c r="N594">
        <v>41.64</v>
      </c>
      <c r="O594">
        <v>4.7618999999999998</v>
      </c>
      <c r="P594">
        <v>2.08</v>
      </c>
      <c r="Q594">
        <v>7.7</v>
      </c>
      <c r="R594" s="8">
        <f t="shared" si="9"/>
        <v>43490</v>
      </c>
    </row>
    <row r="595" spans="1:18" x14ac:dyDescent="0.35">
      <c r="A595" t="s">
        <v>844</v>
      </c>
      <c r="B595" t="s">
        <v>18</v>
      </c>
      <c r="C595" t="s">
        <v>19</v>
      </c>
      <c r="D595" t="s">
        <v>20</v>
      </c>
      <c r="E595" t="s">
        <v>42</v>
      </c>
      <c r="F595" t="s">
        <v>22</v>
      </c>
      <c r="G595">
        <v>69.34</v>
      </c>
      <c r="H595">
        <v>5</v>
      </c>
      <c r="I595">
        <v>17.34</v>
      </c>
      <c r="J595">
        <v>364.04</v>
      </c>
      <c r="K595" t="s">
        <v>387</v>
      </c>
      <c r="L595" t="s">
        <v>212</v>
      </c>
      <c r="M595" t="s">
        <v>45</v>
      </c>
      <c r="N595">
        <v>346.7</v>
      </c>
      <c r="O595">
        <v>4.7618999999999998</v>
      </c>
      <c r="P595">
        <v>17.34</v>
      </c>
      <c r="Q595">
        <v>8.1</v>
      </c>
      <c r="R595" s="8">
        <f t="shared" si="9"/>
        <v>43472</v>
      </c>
    </row>
    <row r="596" spans="1:18" x14ac:dyDescent="0.35">
      <c r="A596" t="s">
        <v>845</v>
      </c>
      <c r="B596" t="s">
        <v>37</v>
      </c>
      <c r="C596" t="s">
        <v>38</v>
      </c>
      <c r="D596" t="s">
        <v>20</v>
      </c>
      <c r="E596" t="s">
        <v>21</v>
      </c>
      <c r="F596" t="s">
        <v>22</v>
      </c>
      <c r="G596">
        <v>93.04</v>
      </c>
      <c r="H596">
        <v>1</v>
      </c>
      <c r="I596">
        <v>4.6500000000000004</v>
      </c>
      <c r="J596">
        <v>97.69</v>
      </c>
      <c r="K596" t="s">
        <v>439</v>
      </c>
      <c r="L596" t="s">
        <v>846</v>
      </c>
      <c r="M596" t="s">
        <v>45</v>
      </c>
      <c r="N596">
        <v>93.04</v>
      </c>
      <c r="O596">
        <v>4.7618999999999998</v>
      </c>
      <c r="P596">
        <v>4.6500000000000004</v>
      </c>
      <c r="Q596">
        <v>6.6</v>
      </c>
      <c r="R596" s="8">
        <f t="shared" si="9"/>
        <v>43548</v>
      </c>
    </row>
    <row r="597" spans="1:18" x14ac:dyDescent="0.35">
      <c r="A597" t="s">
        <v>847</v>
      </c>
      <c r="B597" t="s">
        <v>18</v>
      </c>
      <c r="C597" t="s">
        <v>19</v>
      </c>
      <c r="D597" t="s">
        <v>27</v>
      </c>
      <c r="E597" t="s">
        <v>21</v>
      </c>
      <c r="F597" t="s">
        <v>28</v>
      </c>
      <c r="G597">
        <v>76.64</v>
      </c>
      <c r="H597">
        <v>9</v>
      </c>
      <c r="I597">
        <v>34.49</v>
      </c>
      <c r="J597">
        <v>724.25</v>
      </c>
      <c r="K597" t="s">
        <v>139</v>
      </c>
      <c r="L597" t="s">
        <v>154</v>
      </c>
      <c r="M597" t="s">
        <v>35</v>
      </c>
      <c r="N597">
        <v>689.76</v>
      </c>
      <c r="O597">
        <v>4.7618999999999998</v>
      </c>
      <c r="P597">
        <v>34.49</v>
      </c>
      <c r="Q597">
        <v>7.1</v>
      </c>
      <c r="R597" s="8">
        <f t="shared" si="9"/>
        <v>43488</v>
      </c>
    </row>
    <row r="598" spans="1:18" x14ac:dyDescent="0.35">
      <c r="A598" t="s">
        <v>848</v>
      </c>
      <c r="B598" t="s">
        <v>68</v>
      </c>
      <c r="C598" t="s">
        <v>69</v>
      </c>
      <c r="D598" t="s">
        <v>27</v>
      </c>
      <c r="E598" t="s">
        <v>42</v>
      </c>
      <c r="F598" t="s">
        <v>32</v>
      </c>
      <c r="G598">
        <v>27.89</v>
      </c>
      <c r="H598">
        <v>6</v>
      </c>
      <c r="I598">
        <v>8.3699999999999992</v>
      </c>
      <c r="J598">
        <v>175.71</v>
      </c>
      <c r="K598" t="s">
        <v>253</v>
      </c>
      <c r="L598" t="s">
        <v>382</v>
      </c>
      <c r="M598" t="s">
        <v>45</v>
      </c>
      <c r="N598">
        <v>167.34</v>
      </c>
      <c r="O598">
        <v>4.7618999999999998</v>
      </c>
      <c r="P598">
        <v>8.3699999999999992</v>
      </c>
      <c r="Q598">
        <v>4.5999999999999996</v>
      </c>
      <c r="R598" s="8">
        <f t="shared" si="9"/>
        <v>43495</v>
      </c>
    </row>
    <row r="599" spans="1:18" x14ac:dyDescent="0.35">
      <c r="A599" t="s">
        <v>849</v>
      </c>
      <c r="B599" t="s">
        <v>37</v>
      </c>
      <c r="C599" t="s">
        <v>38</v>
      </c>
      <c r="D599" t="s">
        <v>20</v>
      </c>
      <c r="E599" t="s">
        <v>42</v>
      </c>
      <c r="F599" t="s">
        <v>54</v>
      </c>
      <c r="G599">
        <v>16.62</v>
      </c>
      <c r="H599">
        <v>10</v>
      </c>
      <c r="I599">
        <v>8.31</v>
      </c>
      <c r="J599">
        <v>174.51</v>
      </c>
      <c r="K599" t="s">
        <v>196</v>
      </c>
      <c r="L599" t="s">
        <v>350</v>
      </c>
      <c r="M599" t="s">
        <v>45</v>
      </c>
      <c r="N599">
        <v>166.2</v>
      </c>
      <c r="O599">
        <v>4.7618999999999998</v>
      </c>
      <c r="P599">
        <v>8.31</v>
      </c>
      <c r="Q599">
        <v>5.3</v>
      </c>
      <c r="R599" s="8">
        <f t="shared" si="9"/>
        <v>43528</v>
      </c>
    </row>
    <row r="600" spans="1:18" x14ac:dyDescent="0.35">
      <c r="A600" t="s">
        <v>850</v>
      </c>
      <c r="B600" t="s">
        <v>37</v>
      </c>
      <c r="C600" t="s">
        <v>38</v>
      </c>
      <c r="D600" t="s">
        <v>20</v>
      </c>
      <c r="E600" t="s">
        <v>42</v>
      </c>
      <c r="F600" t="s">
        <v>61</v>
      </c>
      <c r="G600">
        <v>22.28</v>
      </c>
      <c r="H600">
        <v>4</v>
      </c>
      <c r="I600">
        <v>4.46</v>
      </c>
      <c r="J600">
        <v>93.58</v>
      </c>
      <c r="K600" t="s">
        <v>264</v>
      </c>
      <c r="L600" t="s">
        <v>846</v>
      </c>
      <c r="M600" t="s">
        <v>45</v>
      </c>
      <c r="N600">
        <v>89.12</v>
      </c>
      <c r="O600">
        <v>4.7618999999999998</v>
      </c>
      <c r="P600">
        <v>4.46</v>
      </c>
      <c r="Q600">
        <v>6</v>
      </c>
      <c r="R600" s="8">
        <f t="shared" si="9"/>
        <v>43546</v>
      </c>
    </row>
    <row r="601" spans="1:18" x14ac:dyDescent="0.35">
      <c r="A601" t="s">
        <v>851</v>
      </c>
      <c r="B601" t="s">
        <v>18</v>
      </c>
      <c r="C601" t="s">
        <v>19</v>
      </c>
      <c r="D601" t="s">
        <v>20</v>
      </c>
      <c r="E601" t="s">
        <v>42</v>
      </c>
      <c r="F601" t="s">
        <v>54</v>
      </c>
      <c r="G601">
        <v>20</v>
      </c>
      <c r="H601">
        <v>8</v>
      </c>
      <c r="I601">
        <v>8</v>
      </c>
      <c r="J601">
        <v>168</v>
      </c>
      <c r="K601" t="s">
        <v>202</v>
      </c>
      <c r="L601" t="s">
        <v>267</v>
      </c>
      <c r="M601" t="s">
        <v>35</v>
      </c>
      <c r="N601">
        <v>160</v>
      </c>
      <c r="O601">
        <v>4.7618999999999998</v>
      </c>
      <c r="P601">
        <v>8</v>
      </c>
      <c r="Q601">
        <v>5.3</v>
      </c>
      <c r="R601" s="8">
        <f t="shared" si="9"/>
        <v>43524</v>
      </c>
    </row>
    <row r="602" spans="1:18" x14ac:dyDescent="0.35">
      <c r="A602" t="s">
        <v>852</v>
      </c>
      <c r="B602" t="s">
        <v>18</v>
      </c>
      <c r="C602" t="s">
        <v>19</v>
      </c>
      <c r="D602" t="s">
        <v>20</v>
      </c>
      <c r="E602" t="s">
        <v>21</v>
      </c>
      <c r="F602" t="s">
        <v>50</v>
      </c>
      <c r="G602">
        <v>97.31</v>
      </c>
      <c r="H602">
        <v>4</v>
      </c>
      <c r="I602">
        <v>19.46</v>
      </c>
      <c r="J602">
        <v>408.7</v>
      </c>
      <c r="K602" t="s">
        <v>96</v>
      </c>
      <c r="L602" t="s">
        <v>536</v>
      </c>
      <c r="M602" t="s">
        <v>35</v>
      </c>
      <c r="N602">
        <v>389.24</v>
      </c>
      <c r="O602">
        <v>4.7618999999999998</v>
      </c>
      <c r="P602">
        <v>19.46</v>
      </c>
      <c r="Q602">
        <v>9.1999999999999993</v>
      </c>
      <c r="R602" s="8">
        <f t="shared" si="9"/>
        <v>43477</v>
      </c>
    </row>
    <row r="603" spans="1:18" x14ac:dyDescent="0.35">
      <c r="A603" t="s">
        <v>853</v>
      </c>
      <c r="B603" t="s">
        <v>18</v>
      </c>
      <c r="C603" t="s">
        <v>19</v>
      </c>
      <c r="D603" t="s">
        <v>27</v>
      </c>
      <c r="E603" t="s">
        <v>42</v>
      </c>
      <c r="F603" t="s">
        <v>61</v>
      </c>
      <c r="G603">
        <v>11.31</v>
      </c>
      <c r="H603">
        <v>7</v>
      </c>
      <c r="I603">
        <v>3.96</v>
      </c>
      <c r="J603">
        <v>83.13</v>
      </c>
      <c r="K603" t="s">
        <v>182</v>
      </c>
      <c r="L603" t="s">
        <v>197</v>
      </c>
      <c r="M603" t="s">
        <v>35</v>
      </c>
      <c r="N603">
        <v>79.17</v>
      </c>
      <c r="O603">
        <v>4.7618999999999998</v>
      </c>
      <c r="P603">
        <v>3.96</v>
      </c>
      <c r="Q603">
        <v>7.5</v>
      </c>
      <c r="R603" s="8">
        <f t="shared" si="9"/>
        <v>43497</v>
      </c>
    </row>
    <row r="604" spans="1:18" x14ac:dyDescent="0.35">
      <c r="A604" t="s">
        <v>854</v>
      </c>
      <c r="B604" t="s">
        <v>68</v>
      </c>
      <c r="C604" t="s">
        <v>69</v>
      </c>
      <c r="D604" t="s">
        <v>20</v>
      </c>
      <c r="E604" t="s">
        <v>42</v>
      </c>
      <c r="F604" t="s">
        <v>28</v>
      </c>
      <c r="G604">
        <v>13.61</v>
      </c>
      <c r="H604">
        <v>8</v>
      </c>
      <c r="I604">
        <v>5.44</v>
      </c>
      <c r="J604">
        <v>114.32</v>
      </c>
      <c r="K604" t="s">
        <v>29</v>
      </c>
      <c r="L604" t="s">
        <v>350</v>
      </c>
      <c r="M604" t="s">
        <v>25</v>
      </c>
      <c r="N604">
        <v>108.88</v>
      </c>
      <c r="O604">
        <v>4.7618999999999998</v>
      </c>
      <c r="P604">
        <v>5.44</v>
      </c>
      <c r="Q604">
        <v>6.4</v>
      </c>
      <c r="R604" s="8">
        <f t="shared" si="9"/>
        <v>43530</v>
      </c>
    </row>
    <row r="605" spans="1:18" x14ac:dyDescent="0.35">
      <c r="A605" t="s">
        <v>855</v>
      </c>
      <c r="B605" t="s">
        <v>18</v>
      </c>
      <c r="C605" t="s">
        <v>19</v>
      </c>
      <c r="D605" t="s">
        <v>20</v>
      </c>
      <c r="E605" t="s">
        <v>42</v>
      </c>
      <c r="F605" t="s">
        <v>32</v>
      </c>
      <c r="G605">
        <v>31.65</v>
      </c>
      <c r="H605">
        <v>9</v>
      </c>
      <c r="I605">
        <v>14.24</v>
      </c>
      <c r="J605">
        <v>299.08999999999997</v>
      </c>
      <c r="K605" t="s">
        <v>415</v>
      </c>
      <c r="L605" t="s">
        <v>384</v>
      </c>
      <c r="M605" t="s">
        <v>45</v>
      </c>
      <c r="N605">
        <v>284.85000000000002</v>
      </c>
      <c r="O605">
        <v>4.7618999999999998</v>
      </c>
      <c r="P605">
        <v>14.24</v>
      </c>
      <c r="Q605">
        <v>6.2</v>
      </c>
      <c r="R605" s="8">
        <f t="shared" si="9"/>
        <v>43467</v>
      </c>
    </row>
    <row r="606" spans="1:18" x14ac:dyDescent="0.35">
      <c r="A606" t="s">
        <v>856</v>
      </c>
      <c r="B606" t="s">
        <v>18</v>
      </c>
      <c r="C606" t="s">
        <v>19</v>
      </c>
      <c r="D606" t="s">
        <v>20</v>
      </c>
      <c r="E606" t="s">
        <v>21</v>
      </c>
      <c r="F606" t="s">
        <v>32</v>
      </c>
      <c r="G606">
        <v>70.209999999999994</v>
      </c>
      <c r="H606">
        <v>3</v>
      </c>
      <c r="I606">
        <v>10.53</v>
      </c>
      <c r="J606">
        <v>221.16</v>
      </c>
      <c r="K606" t="s">
        <v>202</v>
      </c>
      <c r="L606" t="s">
        <v>435</v>
      </c>
      <c r="M606" t="s">
        <v>25</v>
      </c>
      <c r="N606">
        <v>210.63</v>
      </c>
      <c r="O606">
        <v>4.7618999999999998</v>
      </c>
      <c r="P606">
        <v>10.53</v>
      </c>
      <c r="Q606">
        <v>4.0999999999999996</v>
      </c>
      <c r="R606" s="8">
        <f t="shared" si="9"/>
        <v>43524</v>
      </c>
    </row>
    <row r="607" spans="1:18" x14ac:dyDescent="0.35">
      <c r="A607" t="s">
        <v>857</v>
      </c>
      <c r="B607" t="s">
        <v>37</v>
      </c>
      <c r="C607" t="s">
        <v>38</v>
      </c>
      <c r="D607" t="s">
        <v>20</v>
      </c>
      <c r="E607" t="s">
        <v>42</v>
      </c>
      <c r="F607" t="s">
        <v>54</v>
      </c>
      <c r="G607">
        <v>81.09</v>
      </c>
      <c r="H607">
        <v>6</v>
      </c>
      <c r="I607">
        <v>24.33</v>
      </c>
      <c r="J607">
        <v>510.87</v>
      </c>
      <c r="K607" t="s">
        <v>264</v>
      </c>
      <c r="L607" t="s">
        <v>152</v>
      </c>
      <c r="M607" t="s">
        <v>25</v>
      </c>
      <c r="N607">
        <v>486.54</v>
      </c>
      <c r="O607">
        <v>4.7618999999999998</v>
      </c>
      <c r="P607">
        <v>24.33</v>
      </c>
      <c r="Q607">
        <v>4</v>
      </c>
      <c r="R607" s="8">
        <f t="shared" si="9"/>
        <v>43546</v>
      </c>
    </row>
    <row r="608" spans="1:18" x14ac:dyDescent="0.35">
      <c r="A608" t="s">
        <v>858</v>
      </c>
      <c r="B608" t="s">
        <v>68</v>
      </c>
      <c r="C608" t="s">
        <v>69</v>
      </c>
      <c r="D608" t="s">
        <v>27</v>
      </c>
      <c r="E608" t="s">
        <v>42</v>
      </c>
      <c r="F608" t="s">
        <v>50</v>
      </c>
      <c r="G608">
        <v>12.94</v>
      </c>
      <c r="H608">
        <v>7</v>
      </c>
      <c r="I608">
        <v>4.53</v>
      </c>
      <c r="J608">
        <v>95.11</v>
      </c>
      <c r="K608" t="s">
        <v>218</v>
      </c>
      <c r="L608" t="s">
        <v>299</v>
      </c>
      <c r="M608" t="s">
        <v>25</v>
      </c>
      <c r="N608">
        <v>90.58</v>
      </c>
      <c r="O608">
        <v>4.7618999999999998</v>
      </c>
      <c r="P608">
        <v>4.53</v>
      </c>
      <c r="Q608">
        <v>8.8000000000000007</v>
      </c>
      <c r="R608" s="8">
        <f t="shared" si="9"/>
        <v>43500</v>
      </c>
    </row>
    <row r="609" spans="1:18" x14ac:dyDescent="0.35">
      <c r="A609" t="s">
        <v>859</v>
      </c>
      <c r="B609" t="s">
        <v>18</v>
      </c>
      <c r="C609" t="s">
        <v>19</v>
      </c>
      <c r="D609" t="s">
        <v>20</v>
      </c>
      <c r="E609" t="s">
        <v>42</v>
      </c>
      <c r="F609" t="s">
        <v>22</v>
      </c>
      <c r="G609">
        <v>93.9</v>
      </c>
      <c r="H609">
        <v>9</v>
      </c>
      <c r="I609">
        <v>42.26</v>
      </c>
      <c r="J609">
        <v>887.36</v>
      </c>
      <c r="K609" t="s">
        <v>274</v>
      </c>
      <c r="L609" t="s">
        <v>255</v>
      </c>
      <c r="M609" t="s">
        <v>45</v>
      </c>
      <c r="N609">
        <v>845.1</v>
      </c>
      <c r="O609">
        <v>4.7618999999999998</v>
      </c>
      <c r="P609">
        <v>42.26</v>
      </c>
      <c r="Q609">
        <v>6.3</v>
      </c>
      <c r="R609" s="8">
        <f t="shared" si="9"/>
        <v>43552</v>
      </c>
    </row>
    <row r="610" spans="1:18" x14ac:dyDescent="0.35">
      <c r="A610" t="s">
        <v>860</v>
      </c>
      <c r="B610" t="s">
        <v>18</v>
      </c>
      <c r="C610" t="s">
        <v>19</v>
      </c>
      <c r="D610" t="s">
        <v>20</v>
      </c>
      <c r="E610" t="s">
        <v>42</v>
      </c>
      <c r="F610" t="s">
        <v>61</v>
      </c>
      <c r="G610">
        <v>25.77</v>
      </c>
      <c r="H610">
        <v>9</v>
      </c>
      <c r="I610">
        <v>11.6</v>
      </c>
      <c r="J610">
        <v>243.53</v>
      </c>
      <c r="K610" t="s">
        <v>167</v>
      </c>
      <c r="L610" t="s">
        <v>625</v>
      </c>
      <c r="M610" t="s">
        <v>45</v>
      </c>
      <c r="N610">
        <v>231.93</v>
      </c>
      <c r="O610">
        <v>4.7618999999999998</v>
      </c>
      <c r="P610">
        <v>11.6</v>
      </c>
      <c r="Q610">
        <v>4.8</v>
      </c>
      <c r="R610" s="8">
        <f t="shared" si="9"/>
        <v>43474</v>
      </c>
    </row>
    <row r="611" spans="1:18" x14ac:dyDescent="0.35">
      <c r="A611" t="s">
        <v>861</v>
      </c>
      <c r="B611" t="s">
        <v>68</v>
      </c>
      <c r="C611" t="s">
        <v>69</v>
      </c>
      <c r="D611" t="s">
        <v>20</v>
      </c>
      <c r="E611" t="s">
        <v>42</v>
      </c>
      <c r="F611" t="s">
        <v>22</v>
      </c>
      <c r="G611">
        <v>94.52</v>
      </c>
      <c r="H611">
        <v>10</v>
      </c>
      <c r="I611">
        <v>47.26</v>
      </c>
      <c r="J611">
        <v>992.46</v>
      </c>
      <c r="K611" t="s">
        <v>479</v>
      </c>
      <c r="L611" t="s">
        <v>197</v>
      </c>
      <c r="M611" t="s">
        <v>35</v>
      </c>
      <c r="N611">
        <v>945.2</v>
      </c>
      <c r="O611">
        <v>4.7618999999999998</v>
      </c>
      <c r="P611">
        <v>47.26</v>
      </c>
      <c r="Q611">
        <v>9.4</v>
      </c>
      <c r="R611" s="8">
        <f t="shared" si="9"/>
        <v>43492</v>
      </c>
    </row>
    <row r="612" spans="1:18" x14ac:dyDescent="0.35">
      <c r="A612" t="s">
        <v>862</v>
      </c>
      <c r="B612" t="s">
        <v>18</v>
      </c>
      <c r="C612" t="s">
        <v>19</v>
      </c>
      <c r="D612" t="s">
        <v>27</v>
      </c>
      <c r="E612" t="s">
        <v>42</v>
      </c>
      <c r="F612" t="s">
        <v>28</v>
      </c>
      <c r="G612">
        <v>15.7</v>
      </c>
      <c r="H612">
        <v>6</v>
      </c>
      <c r="I612">
        <v>4.71</v>
      </c>
      <c r="J612">
        <v>98.91</v>
      </c>
      <c r="K612" t="s">
        <v>322</v>
      </c>
      <c r="L612" t="s">
        <v>66</v>
      </c>
      <c r="M612" t="s">
        <v>25</v>
      </c>
      <c r="N612">
        <v>94.2</v>
      </c>
      <c r="O612">
        <v>4.7618999999999998</v>
      </c>
      <c r="P612">
        <v>4.71</v>
      </c>
      <c r="Q612">
        <v>9</v>
      </c>
      <c r="R612" s="8">
        <f t="shared" si="9"/>
        <v>43523</v>
      </c>
    </row>
    <row r="613" spans="1:18" x14ac:dyDescent="0.35">
      <c r="A613" t="s">
        <v>863</v>
      </c>
      <c r="B613" t="s">
        <v>18</v>
      </c>
      <c r="C613" t="s">
        <v>19</v>
      </c>
      <c r="D613" t="s">
        <v>27</v>
      </c>
      <c r="E613" t="s">
        <v>42</v>
      </c>
      <c r="F613" t="s">
        <v>50</v>
      </c>
      <c r="G613">
        <v>43.13</v>
      </c>
      <c r="H613">
        <v>2</v>
      </c>
      <c r="I613">
        <v>4.3099999999999996</v>
      </c>
      <c r="J613">
        <v>90.57</v>
      </c>
      <c r="K613" t="s">
        <v>87</v>
      </c>
      <c r="L613" t="s">
        <v>63</v>
      </c>
      <c r="M613" t="s">
        <v>45</v>
      </c>
      <c r="N613">
        <v>86.26</v>
      </c>
      <c r="O613">
        <v>4.7618999999999998</v>
      </c>
      <c r="P613">
        <v>4.3099999999999996</v>
      </c>
      <c r="Q613">
        <v>6.3</v>
      </c>
      <c r="R613" s="8">
        <f t="shared" si="9"/>
        <v>43490</v>
      </c>
    </row>
    <row r="614" spans="1:18" x14ac:dyDescent="0.35">
      <c r="A614" t="s">
        <v>864</v>
      </c>
      <c r="B614" t="s">
        <v>37</v>
      </c>
      <c r="C614" t="s">
        <v>38</v>
      </c>
      <c r="D614" t="s">
        <v>20</v>
      </c>
      <c r="E614" t="s">
        <v>21</v>
      </c>
      <c r="F614" t="s">
        <v>54</v>
      </c>
      <c r="G614">
        <v>34.83</v>
      </c>
      <c r="H614">
        <v>3</v>
      </c>
      <c r="I614">
        <v>5.22</v>
      </c>
      <c r="J614">
        <v>109.71</v>
      </c>
      <c r="K614" t="s">
        <v>521</v>
      </c>
      <c r="L614" t="s">
        <v>148</v>
      </c>
      <c r="M614" t="s">
        <v>25</v>
      </c>
      <c r="N614">
        <v>104.49</v>
      </c>
      <c r="O614">
        <v>4.7618999999999998</v>
      </c>
      <c r="P614">
        <v>5.22</v>
      </c>
      <c r="Q614">
        <v>9.6999999999999993</v>
      </c>
      <c r="R614" s="8">
        <f t="shared" si="9"/>
        <v>43529</v>
      </c>
    </row>
    <row r="615" spans="1:18" x14ac:dyDescent="0.35">
      <c r="A615" t="s">
        <v>865</v>
      </c>
      <c r="B615" t="s">
        <v>37</v>
      </c>
      <c r="C615" t="s">
        <v>38</v>
      </c>
      <c r="D615" t="s">
        <v>27</v>
      </c>
      <c r="E615" t="s">
        <v>21</v>
      </c>
      <c r="F615" t="s">
        <v>32</v>
      </c>
      <c r="G615">
        <v>41.2</v>
      </c>
      <c r="H615">
        <v>8</v>
      </c>
      <c r="I615">
        <v>16.48</v>
      </c>
      <c r="J615">
        <v>346.08</v>
      </c>
      <c r="K615" t="s">
        <v>439</v>
      </c>
      <c r="L615" t="s">
        <v>125</v>
      </c>
      <c r="M615" t="s">
        <v>45</v>
      </c>
      <c r="N615">
        <v>329.6</v>
      </c>
      <c r="O615">
        <v>4.7618999999999998</v>
      </c>
      <c r="P615">
        <v>16.48</v>
      </c>
      <c r="Q615">
        <v>4.4000000000000004</v>
      </c>
      <c r="R615" s="8">
        <f t="shared" si="9"/>
        <v>43548</v>
      </c>
    </row>
    <row r="616" spans="1:18" x14ac:dyDescent="0.35">
      <c r="A616" t="s">
        <v>866</v>
      </c>
      <c r="B616" t="s">
        <v>68</v>
      </c>
      <c r="C616" t="s">
        <v>69</v>
      </c>
      <c r="D616" t="s">
        <v>27</v>
      </c>
      <c r="E616" t="s">
        <v>42</v>
      </c>
      <c r="F616" t="s">
        <v>50</v>
      </c>
      <c r="G616">
        <v>40.85</v>
      </c>
      <c r="H616">
        <v>6</v>
      </c>
      <c r="I616">
        <v>12.26</v>
      </c>
      <c r="J616">
        <v>257.36</v>
      </c>
      <c r="K616" t="s">
        <v>196</v>
      </c>
      <c r="L616" t="s">
        <v>114</v>
      </c>
      <c r="M616" t="s">
        <v>25</v>
      </c>
      <c r="N616">
        <v>245.1</v>
      </c>
      <c r="O616">
        <v>4.7618999999999998</v>
      </c>
      <c r="P616">
        <v>12.26</v>
      </c>
      <c r="Q616">
        <v>7.2</v>
      </c>
      <c r="R616" s="8">
        <f t="shared" si="9"/>
        <v>43528</v>
      </c>
    </row>
    <row r="617" spans="1:18" x14ac:dyDescent="0.35">
      <c r="A617" t="s">
        <v>867</v>
      </c>
      <c r="B617" t="s">
        <v>37</v>
      </c>
      <c r="C617" t="s">
        <v>38</v>
      </c>
      <c r="D617" t="s">
        <v>27</v>
      </c>
      <c r="E617" t="s">
        <v>42</v>
      </c>
      <c r="F617" t="s">
        <v>50</v>
      </c>
      <c r="G617">
        <v>21.88</v>
      </c>
      <c r="H617">
        <v>5</v>
      </c>
      <c r="I617">
        <v>5.47</v>
      </c>
      <c r="J617">
        <v>114.87</v>
      </c>
      <c r="K617" t="s">
        <v>175</v>
      </c>
      <c r="L617" t="s">
        <v>150</v>
      </c>
      <c r="M617" t="s">
        <v>35</v>
      </c>
      <c r="N617">
        <v>109.4</v>
      </c>
      <c r="O617">
        <v>4.7618999999999998</v>
      </c>
      <c r="P617">
        <v>5.47</v>
      </c>
      <c r="Q617">
        <v>6.2</v>
      </c>
      <c r="R617" s="8">
        <f t="shared" si="9"/>
        <v>43487</v>
      </c>
    </row>
    <row r="618" spans="1:18" x14ac:dyDescent="0.35">
      <c r="A618" t="s">
        <v>868</v>
      </c>
      <c r="B618" t="s">
        <v>68</v>
      </c>
      <c r="C618" t="s">
        <v>69</v>
      </c>
      <c r="D618" t="s">
        <v>20</v>
      </c>
      <c r="E618" t="s">
        <v>42</v>
      </c>
      <c r="F618" t="s">
        <v>61</v>
      </c>
      <c r="G618">
        <v>51.03</v>
      </c>
      <c r="H618">
        <v>3</v>
      </c>
      <c r="I618">
        <v>7.65</v>
      </c>
      <c r="J618">
        <v>160.74</v>
      </c>
      <c r="K618" t="s">
        <v>145</v>
      </c>
      <c r="L618" t="s">
        <v>427</v>
      </c>
      <c r="M618" t="s">
        <v>25</v>
      </c>
      <c r="N618">
        <v>153.09</v>
      </c>
      <c r="O618">
        <v>4.7618999999999998</v>
      </c>
      <c r="P618">
        <v>7.65</v>
      </c>
      <c r="Q618">
        <v>5.7</v>
      </c>
      <c r="R618" s="8">
        <f t="shared" si="9"/>
        <v>43545</v>
      </c>
    </row>
    <row r="619" spans="1:18" x14ac:dyDescent="0.35">
      <c r="A619" t="s">
        <v>869</v>
      </c>
      <c r="B619" t="s">
        <v>18</v>
      </c>
      <c r="C619" t="s">
        <v>19</v>
      </c>
      <c r="D619" t="s">
        <v>20</v>
      </c>
      <c r="E619" t="s">
        <v>21</v>
      </c>
      <c r="F619" t="s">
        <v>54</v>
      </c>
      <c r="G619">
        <v>20.52</v>
      </c>
      <c r="H619">
        <v>6</v>
      </c>
      <c r="I619">
        <v>6.16</v>
      </c>
      <c r="J619">
        <v>129.28</v>
      </c>
      <c r="K619" t="s">
        <v>43</v>
      </c>
      <c r="L619" t="s">
        <v>71</v>
      </c>
      <c r="M619" t="s">
        <v>35</v>
      </c>
      <c r="N619">
        <v>123.12</v>
      </c>
      <c r="O619">
        <v>4.7618999999999998</v>
      </c>
      <c r="P619">
        <v>6.16</v>
      </c>
      <c r="Q619">
        <v>6.2</v>
      </c>
      <c r="R619" s="8">
        <f t="shared" si="9"/>
        <v>43539</v>
      </c>
    </row>
    <row r="620" spans="1:18" x14ac:dyDescent="0.35">
      <c r="A620" t="s">
        <v>870</v>
      </c>
      <c r="B620" t="s">
        <v>18</v>
      </c>
      <c r="C620" t="s">
        <v>19</v>
      </c>
      <c r="D620" t="s">
        <v>20</v>
      </c>
      <c r="E620" t="s">
        <v>42</v>
      </c>
      <c r="F620" t="s">
        <v>61</v>
      </c>
      <c r="G620">
        <v>23.31</v>
      </c>
      <c r="H620">
        <v>8</v>
      </c>
      <c r="I620">
        <v>9.32</v>
      </c>
      <c r="J620">
        <v>195.8</v>
      </c>
      <c r="K620" t="s">
        <v>281</v>
      </c>
      <c r="L620" t="s">
        <v>358</v>
      </c>
      <c r="M620" t="s">
        <v>35</v>
      </c>
      <c r="N620">
        <v>186.48</v>
      </c>
      <c r="O620">
        <v>4.7618999999999998</v>
      </c>
      <c r="P620">
        <v>9.32</v>
      </c>
      <c r="Q620">
        <v>4.7</v>
      </c>
      <c r="R620" s="8">
        <f t="shared" si="9"/>
        <v>43535</v>
      </c>
    </row>
    <row r="621" spans="1:18" x14ac:dyDescent="0.35">
      <c r="A621" t="s">
        <v>871</v>
      </c>
      <c r="B621" t="s">
        <v>37</v>
      </c>
      <c r="C621" t="s">
        <v>38</v>
      </c>
      <c r="D621" t="s">
        <v>27</v>
      </c>
      <c r="E621" t="s">
        <v>21</v>
      </c>
      <c r="F621" t="s">
        <v>32</v>
      </c>
      <c r="G621">
        <v>93.5</v>
      </c>
      <c r="H621">
        <v>3</v>
      </c>
      <c r="I621">
        <v>14.03</v>
      </c>
      <c r="J621">
        <v>294.52999999999997</v>
      </c>
      <c r="K621" t="s">
        <v>422</v>
      </c>
      <c r="L621" t="s">
        <v>243</v>
      </c>
      <c r="M621" t="s">
        <v>35</v>
      </c>
      <c r="N621">
        <v>280.5</v>
      </c>
      <c r="O621">
        <v>4.7618999999999998</v>
      </c>
      <c r="P621">
        <v>14.03</v>
      </c>
      <c r="Q621">
        <v>7.9</v>
      </c>
      <c r="R621" s="8">
        <f t="shared" si="9"/>
        <v>43466</v>
      </c>
    </row>
    <row r="622" spans="1:18" x14ac:dyDescent="0.35">
      <c r="A622" t="s">
        <v>872</v>
      </c>
      <c r="B622" t="s">
        <v>37</v>
      </c>
      <c r="C622" t="s">
        <v>38</v>
      </c>
      <c r="D622" t="s">
        <v>27</v>
      </c>
      <c r="E622" t="s">
        <v>21</v>
      </c>
      <c r="F622" t="s">
        <v>50</v>
      </c>
      <c r="G622">
        <v>75.569999999999993</v>
      </c>
      <c r="H622">
        <v>8</v>
      </c>
      <c r="I622">
        <v>30.23</v>
      </c>
      <c r="J622">
        <v>634.79</v>
      </c>
      <c r="K622" t="s">
        <v>240</v>
      </c>
      <c r="L622" t="s">
        <v>342</v>
      </c>
      <c r="M622" t="s">
        <v>35</v>
      </c>
      <c r="N622">
        <v>604.55999999999995</v>
      </c>
      <c r="O622">
        <v>4.7618999999999998</v>
      </c>
      <c r="P622">
        <v>30.23</v>
      </c>
      <c r="Q622">
        <v>9.4</v>
      </c>
      <c r="R622" s="8">
        <f t="shared" si="9"/>
        <v>43509</v>
      </c>
    </row>
    <row r="623" spans="1:18" x14ac:dyDescent="0.35">
      <c r="A623" t="s">
        <v>873</v>
      </c>
      <c r="B623" t="s">
        <v>18</v>
      </c>
      <c r="C623" t="s">
        <v>19</v>
      </c>
      <c r="D623" t="s">
        <v>20</v>
      </c>
      <c r="E623" t="s">
        <v>42</v>
      </c>
      <c r="F623" t="s">
        <v>28</v>
      </c>
      <c r="G623">
        <v>46.15</v>
      </c>
      <c r="H623">
        <v>4</v>
      </c>
      <c r="I623">
        <v>9.23</v>
      </c>
      <c r="J623">
        <v>193.83</v>
      </c>
      <c r="K623" t="s">
        <v>322</v>
      </c>
      <c r="L623" t="s">
        <v>270</v>
      </c>
      <c r="M623" t="s">
        <v>35</v>
      </c>
      <c r="N623">
        <v>184.6</v>
      </c>
      <c r="O623">
        <v>4.7618999999999998</v>
      </c>
      <c r="P623">
        <v>9.23</v>
      </c>
      <c r="Q623">
        <v>4.3</v>
      </c>
      <c r="R623" s="8">
        <f t="shared" si="9"/>
        <v>43523</v>
      </c>
    </row>
    <row r="624" spans="1:18" x14ac:dyDescent="0.35">
      <c r="A624" t="s">
        <v>874</v>
      </c>
      <c r="B624" t="s">
        <v>68</v>
      </c>
      <c r="C624" t="s">
        <v>69</v>
      </c>
      <c r="D624" t="s">
        <v>20</v>
      </c>
      <c r="E624" t="s">
        <v>42</v>
      </c>
      <c r="F624" t="s">
        <v>54</v>
      </c>
      <c r="G624">
        <v>12.03</v>
      </c>
      <c r="H624">
        <v>9</v>
      </c>
      <c r="I624">
        <v>5.41</v>
      </c>
      <c r="J624">
        <v>113.68</v>
      </c>
      <c r="K624" t="s">
        <v>322</v>
      </c>
      <c r="L624" t="s">
        <v>352</v>
      </c>
      <c r="M624" t="s">
        <v>45</v>
      </c>
      <c r="N624">
        <v>108.27</v>
      </c>
      <c r="O624">
        <v>4.7618999999999998</v>
      </c>
      <c r="P624">
        <v>5.41</v>
      </c>
      <c r="Q624">
        <v>9.9</v>
      </c>
      <c r="R624" s="8">
        <f t="shared" si="9"/>
        <v>43523</v>
      </c>
    </row>
    <row r="625" spans="1:18" x14ac:dyDescent="0.35">
      <c r="A625" t="s">
        <v>875</v>
      </c>
      <c r="B625" t="s">
        <v>68</v>
      </c>
      <c r="C625" t="s">
        <v>69</v>
      </c>
      <c r="D625" t="s">
        <v>27</v>
      </c>
      <c r="E625" t="s">
        <v>42</v>
      </c>
      <c r="F625" t="s">
        <v>50</v>
      </c>
      <c r="G625">
        <v>64.459999999999994</v>
      </c>
      <c r="H625">
        <v>1</v>
      </c>
      <c r="I625">
        <v>3.22</v>
      </c>
      <c r="J625">
        <v>67.680000000000007</v>
      </c>
      <c r="K625" t="s">
        <v>109</v>
      </c>
      <c r="L625" t="s">
        <v>466</v>
      </c>
      <c r="M625" t="s">
        <v>45</v>
      </c>
      <c r="N625">
        <v>64.459999999999994</v>
      </c>
      <c r="O625">
        <v>4.7618999999999998</v>
      </c>
      <c r="P625">
        <v>3.22</v>
      </c>
      <c r="Q625">
        <v>8.3000000000000007</v>
      </c>
      <c r="R625" s="8">
        <f t="shared" si="9"/>
        <v>43551</v>
      </c>
    </row>
    <row r="626" spans="1:18" x14ac:dyDescent="0.35">
      <c r="A626" t="s">
        <v>876</v>
      </c>
      <c r="B626" t="s">
        <v>37</v>
      </c>
      <c r="C626" t="s">
        <v>38</v>
      </c>
      <c r="D626" t="s">
        <v>27</v>
      </c>
      <c r="E626" t="s">
        <v>42</v>
      </c>
      <c r="F626" t="s">
        <v>28</v>
      </c>
      <c r="G626">
        <v>35.619999999999997</v>
      </c>
      <c r="H626">
        <v>6</v>
      </c>
      <c r="I626">
        <v>10.69</v>
      </c>
      <c r="J626">
        <v>224.41</v>
      </c>
      <c r="K626" t="s">
        <v>75</v>
      </c>
      <c r="L626" t="s">
        <v>66</v>
      </c>
      <c r="M626" t="s">
        <v>45</v>
      </c>
      <c r="N626">
        <v>213.72</v>
      </c>
      <c r="O626">
        <v>4.7618999999999998</v>
      </c>
      <c r="P626">
        <v>10.69</v>
      </c>
      <c r="Q626">
        <v>5.3</v>
      </c>
      <c r="R626" s="8">
        <f t="shared" si="9"/>
        <v>43505</v>
      </c>
    </row>
    <row r="627" spans="1:18" x14ac:dyDescent="0.35">
      <c r="A627" t="s">
        <v>877</v>
      </c>
      <c r="B627" t="s">
        <v>18</v>
      </c>
      <c r="C627" t="s">
        <v>19</v>
      </c>
      <c r="D627" t="s">
        <v>27</v>
      </c>
      <c r="E627" t="s">
        <v>42</v>
      </c>
      <c r="F627" t="s">
        <v>61</v>
      </c>
      <c r="G627">
        <v>24.74</v>
      </c>
      <c r="H627">
        <v>7</v>
      </c>
      <c r="I627">
        <v>8.66</v>
      </c>
      <c r="J627">
        <v>181.84</v>
      </c>
      <c r="K627" t="s">
        <v>395</v>
      </c>
      <c r="L627" t="s">
        <v>580</v>
      </c>
      <c r="M627" t="s">
        <v>25</v>
      </c>
      <c r="N627">
        <v>173.18</v>
      </c>
      <c r="O627">
        <v>4.7618999999999998</v>
      </c>
      <c r="P627">
        <v>8.66</v>
      </c>
      <c r="Q627">
        <v>4.5</v>
      </c>
      <c r="R627" s="8">
        <f t="shared" si="9"/>
        <v>43519</v>
      </c>
    </row>
    <row r="628" spans="1:18" x14ac:dyDescent="0.35">
      <c r="A628" t="s">
        <v>878</v>
      </c>
      <c r="B628" t="s">
        <v>37</v>
      </c>
      <c r="C628" t="s">
        <v>38</v>
      </c>
      <c r="D628" t="s">
        <v>27</v>
      </c>
      <c r="E628" t="s">
        <v>42</v>
      </c>
      <c r="F628" t="s">
        <v>28</v>
      </c>
      <c r="G628">
        <v>93.98</v>
      </c>
      <c r="H628">
        <v>10</v>
      </c>
      <c r="I628">
        <v>46.99</v>
      </c>
      <c r="J628">
        <v>986.79</v>
      </c>
      <c r="K628" t="s">
        <v>425</v>
      </c>
      <c r="L628" t="s">
        <v>305</v>
      </c>
      <c r="M628" t="s">
        <v>35</v>
      </c>
      <c r="N628">
        <v>939.8</v>
      </c>
      <c r="O628">
        <v>4.7618999999999998</v>
      </c>
      <c r="P628">
        <v>46.99</v>
      </c>
      <c r="Q628">
        <v>7.8</v>
      </c>
      <c r="R628" s="8">
        <f t="shared" si="9"/>
        <v>43514</v>
      </c>
    </row>
    <row r="629" spans="1:18" x14ac:dyDescent="0.35">
      <c r="A629" t="s">
        <v>879</v>
      </c>
      <c r="B629" t="s">
        <v>37</v>
      </c>
      <c r="C629" t="s">
        <v>38</v>
      </c>
      <c r="D629" t="s">
        <v>20</v>
      </c>
      <c r="E629" t="s">
        <v>42</v>
      </c>
      <c r="F629" t="s">
        <v>22</v>
      </c>
      <c r="G629">
        <v>61.11</v>
      </c>
      <c r="H629">
        <v>3</v>
      </c>
      <c r="I629">
        <v>9.17</v>
      </c>
      <c r="J629">
        <v>192.5</v>
      </c>
      <c r="K629" t="s">
        <v>133</v>
      </c>
      <c r="L629" t="s">
        <v>880</v>
      </c>
      <c r="M629" t="s">
        <v>35</v>
      </c>
      <c r="N629">
        <v>183.33</v>
      </c>
      <c r="O629">
        <v>4.7618999999999998</v>
      </c>
      <c r="P629">
        <v>9.17</v>
      </c>
      <c r="Q629">
        <v>7.3</v>
      </c>
      <c r="R629" s="8">
        <f t="shared" si="9"/>
        <v>43491</v>
      </c>
    </row>
    <row r="630" spans="1:18" x14ac:dyDescent="0.35">
      <c r="A630" t="s">
        <v>881</v>
      </c>
      <c r="B630" t="s">
        <v>37</v>
      </c>
      <c r="C630" t="s">
        <v>38</v>
      </c>
      <c r="D630" t="s">
        <v>27</v>
      </c>
      <c r="E630" t="s">
        <v>42</v>
      </c>
      <c r="F630" t="s">
        <v>50</v>
      </c>
      <c r="G630">
        <v>76.59</v>
      </c>
      <c r="H630">
        <v>4</v>
      </c>
      <c r="I630">
        <v>15.32</v>
      </c>
      <c r="J630">
        <v>321.68</v>
      </c>
      <c r="K630" t="s">
        <v>223</v>
      </c>
      <c r="L630" t="s">
        <v>664</v>
      </c>
      <c r="M630" t="s">
        <v>35</v>
      </c>
      <c r="N630">
        <v>306.36</v>
      </c>
      <c r="O630">
        <v>4.7618999999999998</v>
      </c>
      <c r="P630">
        <v>15.32</v>
      </c>
      <c r="Q630">
        <v>5.8</v>
      </c>
      <c r="R630" s="8">
        <f t="shared" si="9"/>
        <v>43469</v>
      </c>
    </row>
    <row r="631" spans="1:18" x14ac:dyDescent="0.35">
      <c r="A631" t="s">
        <v>882</v>
      </c>
      <c r="B631" t="s">
        <v>18</v>
      </c>
      <c r="C631" t="s">
        <v>19</v>
      </c>
      <c r="D631" t="s">
        <v>27</v>
      </c>
      <c r="E631" t="s">
        <v>21</v>
      </c>
      <c r="F631" t="s">
        <v>22</v>
      </c>
      <c r="G631">
        <v>69.930000000000007</v>
      </c>
      <c r="H631">
        <v>5</v>
      </c>
      <c r="I631">
        <v>17.48</v>
      </c>
      <c r="J631">
        <v>367.13</v>
      </c>
      <c r="K631" t="s">
        <v>395</v>
      </c>
      <c r="L631" t="s">
        <v>71</v>
      </c>
      <c r="M631" t="s">
        <v>25</v>
      </c>
      <c r="N631">
        <v>349.65</v>
      </c>
      <c r="O631">
        <v>4.7618999999999998</v>
      </c>
      <c r="P631">
        <v>17.48</v>
      </c>
      <c r="Q631">
        <v>7.9</v>
      </c>
      <c r="R631" s="8">
        <f t="shared" si="9"/>
        <v>43519</v>
      </c>
    </row>
    <row r="632" spans="1:18" x14ac:dyDescent="0.35">
      <c r="A632" t="s">
        <v>883</v>
      </c>
      <c r="B632" t="s">
        <v>68</v>
      </c>
      <c r="C632" t="s">
        <v>69</v>
      </c>
      <c r="D632" t="s">
        <v>27</v>
      </c>
      <c r="E632" t="s">
        <v>42</v>
      </c>
      <c r="F632" t="s">
        <v>28</v>
      </c>
      <c r="G632">
        <v>63.9</v>
      </c>
      <c r="H632">
        <v>6</v>
      </c>
      <c r="I632">
        <v>19.170000000000002</v>
      </c>
      <c r="J632">
        <v>402.57</v>
      </c>
      <c r="K632" t="s">
        <v>102</v>
      </c>
      <c r="L632" t="s">
        <v>344</v>
      </c>
      <c r="M632" t="s">
        <v>35</v>
      </c>
      <c r="N632">
        <v>383.4</v>
      </c>
      <c r="O632">
        <v>4.7618999999999998</v>
      </c>
      <c r="P632">
        <v>19.170000000000002</v>
      </c>
      <c r="Q632">
        <v>9.1999999999999993</v>
      </c>
      <c r="R632" s="8">
        <f t="shared" si="9"/>
        <v>43540</v>
      </c>
    </row>
    <row r="633" spans="1:18" x14ac:dyDescent="0.35">
      <c r="A633" t="s">
        <v>884</v>
      </c>
      <c r="B633" t="s">
        <v>18</v>
      </c>
      <c r="C633" t="s">
        <v>19</v>
      </c>
      <c r="D633" t="s">
        <v>27</v>
      </c>
      <c r="E633" t="s">
        <v>21</v>
      </c>
      <c r="F633" t="s">
        <v>61</v>
      </c>
      <c r="G633">
        <v>56.13</v>
      </c>
      <c r="H633">
        <v>10</v>
      </c>
      <c r="I633">
        <v>28.06</v>
      </c>
      <c r="J633">
        <v>589.36</v>
      </c>
      <c r="K633" t="s">
        <v>170</v>
      </c>
      <c r="L633" t="s">
        <v>59</v>
      </c>
      <c r="M633" t="s">
        <v>25</v>
      </c>
      <c r="N633">
        <v>561.29999999999995</v>
      </c>
      <c r="O633">
        <v>4.7618999999999998</v>
      </c>
      <c r="P633">
        <v>28.06</v>
      </c>
      <c r="Q633">
        <v>4.4000000000000004</v>
      </c>
      <c r="R633" s="8">
        <f t="shared" si="9"/>
        <v>43468</v>
      </c>
    </row>
    <row r="634" spans="1:18" x14ac:dyDescent="0.35">
      <c r="A634" t="s">
        <v>885</v>
      </c>
      <c r="B634" t="s">
        <v>37</v>
      </c>
      <c r="C634" t="s">
        <v>38</v>
      </c>
      <c r="D634" t="s">
        <v>20</v>
      </c>
      <c r="E634" t="s">
        <v>42</v>
      </c>
      <c r="F634" t="s">
        <v>54</v>
      </c>
      <c r="G634">
        <v>14.76</v>
      </c>
      <c r="H634">
        <v>6</v>
      </c>
      <c r="I634">
        <v>4.43</v>
      </c>
      <c r="J634">
        <v>92.99</v>
      </c>
      <c r="K634" t="s">
        <v>395</v>
      </c>
      <c r="L634" t="s">
        <v>282</v>
      </c>
      <c r="M634" t="s">
        <v>45</v>
      </c>
      <c r="N634">
        <v>88.56</v>
      </c>
      <c r="O634">
        <v>4.7618999999999998</v>
      </c>
      <c r="P634">
        <v>4.43</v>
      </c>
      <c r="Q634">
        <v>5.7</v>
      </c>
      <c r="R634" s="8">
        <f t="shared" si="9"/>
        <v>43519</v>
      </c>
    </row>
    <row r="635" spans="1:18" x14ac:dyDescent="0.35">
      <c r="A635" t="s">
        <v>886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>
        <v>26.49</v>
      </c>
      <c r="H635">
        <v>2</v>
      </c>
      <c r="I635">
        <v>2.65</v>
      </c>
      <c r="J635">
        <v>55.63</v>
      </c>
      <c r="K635" t="s">
        <v>65</v>
      </c>
      <c r="L635" t="s">
        <v>358</v>
      </c>
      <c r="M635" t="s">
        <v>35</v>
      </c>
      <c r="N635">
        <v>52.98</v>
      </c>
      <c r="O635">
        <v>4.7618999999999998</v>
      </c>
      <c r="P635">
        <v>2.65</v>
      </c>
      <c r="Q635">
        <v>9.1999999999999993</v>
      </c>
      <c r="R635" s="8">
        <f t="shared" si="9"/>
        <v>43542</v>
      </c>
    </row>
    <row r="636" spans="1:18" x14ac:dyDescent="0.35">
      <c r="A636" t="s">
        <v>887</v>
      </c>
      <c r="B636" t="s">
        <v>18</v>
      </c>
      <c r="C636" t="s">
        <v>19</v>
      </c>
      <c r="D636" t="s">
        <v>27</v>
      </c>
      <c r="E636" t="s">
        <v>42</v>
      </c>
      <c r="F636" t="s">
        <v>22</v>
      </c>
      <c r="G636">
        <v>72.819999999999993</v>
      </c>
      <c r="H636">
        <v>6</v>
      </c>
      <c r="I636">
        <v>21.85</v>
      </c>
      <c r="J636">
        <v>458.77</v>
      </c>
      <c r="K636" t="s">
        <v>405</v>
      </c>
      <c r="L636" t="s">
        <v>73</v>
      </c>
      <c r="M636" t="s">
        <v>35</v>
      </c>
      <c r="N636">
        <v>436.92</v>
      </c>
      <c r="O636">
        <v>4.7618999999999998</v>
      </c>
      <c r="P636">
        <v>21.85</v>
      </c>
      <c r="Q636">
        <v>8.9</v>
      </c>
      <c r="R636" s="8">
        <f t="shared" si="9"/>
        <v>43478</v>
      </c>
    </row>
    <row r="637" spans="1:18" x14ac:dyDescent="0.35">
      <c r="A637" t="s">
        <v>888</v>
      </c>
      <c r="B637" t="s">
        <v>68</v>
      </c>
      <c r="C637" t="s">
        <v>69</v>
      </c>
      <c r="D637" t="s">
        <v>27</v>
      </c>
      <c r="E637" t="s">
        <v>42</v>
      </c>
      <c r="F637" t="s">
        <v>32</v>
      </c>
      <c r="G637">
        <v>47.08</v>
      </c>
      <c r="H637">
        <v>3</v>
      </c>
      <c r="I637">
        <v>7.06</v>
      </c>
      <c r="J637">
        <v>148.30000000000001</v>
      </c>
      <c r="K637" t="s">
        <v>189</v>
      </c>
      <c r="L637" t="s">
        <v>97</v>
      </c>
      <c r="M637" t="s">
        <v>25</v>
      </c>
      <c r="N637">
        <v>141.24</v>
      </c>
      <c r="O637">
        <v>4.7618999999999998</v>
      </c>
      <c r="P637">
        <v>7.06</v>
      </c>
      <c r="Q637">
        <v>5.3</v>
      </c>
      <c r="R637" s="8">
        <f t="shared" si="9"/>
        <v>43479</v>
      </c>
    </row>
    <row r="638" spans="1:18" x14ac:dyDescent="0.35">
      <c r="A638" t="s">
        <v>889</v>
      </c>
      <c r="B638" t="s">
        <v>18</v>
      </c>
      <c r="C638" t="s">
        <v>19</v>
      </c>
      <c r="D638" t="s">
        <v>20</v>
      </c>
      <c r="E638" t="s">
        <v>42</v>
      </c>
      <c r="F638" t="s">
        <v>32</v>
      </c>
      <c r="G638">
        <v>92.44</v>
      </c>
      <c r="H638">
        <v>2</v>
      </c>
      <c r="I638">
        <v>9.24</v>
      </c>
      <c r="J638">
        <v>194.12</v>
      </c>
      <c r="K638" t="s">
        <v>124</v>
      </c>
      <c r="L638" t="s">
        <v>890</v>
      </c>
      <c r="M638" t="s">
        <v>35</v>
      </c>
      <c r="N638">
        <v>184.88</v>
      </c>
      <c r="O638">
        <v>4.7618999999999998</v>
      </c>
      <c r="P638">
        <v>9.24</v>
      </c>
      <c r="Q638">
        <v>5.9</v>
      </c>
      <c r="R638" s="8">
        <f t="shared" si="9"/>
        <v>43482</v>
      </c>
    </row>
    <row r="639" spans="1:18" x14ac:dyDescent="0.35">
      <c r="A639" t="s">
        <v>891</v>
      </c>
      <c r="B639" t="s">
        <v>68</v>
      </c>
      <c r="C639" t="s">
        <v>69</v>
      </c>
      <c r="D639" t="s">
        <v>27</v>
      </c>
      <c r="E639" t="s">
        <v>42</v>
      </c>
      <c r="F639" t="s">
        <v>54</v>
      </c>
      <c r="G639">
        <v>73.89</v>
      </c>
      <c r="H639">
        <v>1</v>
      </c>
      <c r="I639">
        <v>3.69</v>
      </c>
      <c r="J639">
        <v>77.58</v>
      </c>
      <c r="K639" t="s">
        <v>187</v>
      </c>
      <c r="L639" t="s">
        <v>97</v>
      </c>
      <c r="M639" t="s">
        <v>25</v>
      </c>
      <c r="N639">
        <v>73.89</v>
      </c>
      <c r="O639">
        <v>4.7618999999999998</v>
      </c>
      <c r="P639">
        <v>3.69</v>
      </c>
      <c r="Q639">
        <v>4.9000000000000004</v>
      </c>
      <c r="R639" s="8">
        <f t="shared" si="9"/>
        <v>43481</v>
      </c>
    </row>
    <row r="640" spans="1:18" x14ac:dyDescent="0.35">
      <c r="A640" t="s">
        <v>892</v>
      </c>
      <c r="B640" t="s">
        <v>37</v>
      </c>
      <c r="C640" t="s">
        <v>38</v>
      </c>
      <c r="D640" t="s">
        <v>20</v>
      </c>
      <c r="E640" t="s">
        <v>21</v>
      </c>
      <c r="F640" t="s">
        <v>54</v>
      </c>
      <c r="G640">
        <v>98.3</v>
      </c>
      <c r="H640">
        <v>7</v>
      </c>
      <c r="I640">
        <v>34.409999999999997</v>
      </c>
      <c r="J640">
        <v>722.51</v>
      </c>
      <c r="K640" t="s">
        <v>470</v>
      </c>
      <c r="L640" t="s">
        <v>88</v>
      </c>
      <c r="M640" t="s">
        <v>45</v>
      </c>
      <c r="N640">
        <v>688.1</v>
      </c>
      <c r="O640">
        <v>4.7618999999999998</v>
      </c>
      <c r="P640">
        <v>34.409999999999997</v>
      </c>
      <c r="Q640">
        <v>8.6</v>
      </c>
      <c r="R640" s="8">
        <f t="shared" si="9"/>
        <v>43554</v>
      </c>
    </row>
    <row r="641" spans="1:18" x14ac:dyDescent="0.35">
      <c r="A641" t="s">
        <v>893</v>
      </c>
      <c r="B641" t="s">
        <v>37</v>
      </c>
      <c r="C641" t="s">
        <v>38</v>
      </c>
      <c r="D641" t="s">
        <v>20</v>
      </c>
      <c r="E641" t="s">
        <v>21</v>
      </c>
      <c r="F641" t="s">
        <v>28</v>
      </c>
      <c r="G641">
        <v>12.95</v>
      </c>
      <c r="H641">
        <v>9</v>
      </c>
      <c r="I641">
        <v>5.83</v>
      </c>
      <c r="J641">
        <v>122.38</v>
      </c>
      <c r="K641" t="s">
        <v>82</v>
      </c>
      <c r="L641" t="s">
        <v>890</v>
      </c>
      <c r="M641" t="s">
        <v>45</v>
      </c>
      <c r="N641">
        <v>116.55</v>
      </c>
      <c r="O641">
        <v>4.7618999999999998</v>
      </c>
      <c r="P641">
        <v>5.83</v>
      </c>
      <c r="Q641">
        <v>9.5</v>
      </c>
      <c r="R641" s="8">
        <f t="shared" si="9"/>
        <v>43541</v>
      </c>
    </row>
    <row r="642" spans="1:18" x14ac:dyDescent="0.35">
      <c r="A642" t="s">
        <v>894</v>
      </c>
      <c r="B642" t="s">
        <v>68</v>
      </c>
      <c r="C642" t="s">
        <v>69</v>
      </c>
      <c r="D642" t="s">
        <v>27</v>
      </c>
      <c r="E642" t="s">
        <v>21</v>
      </c>
      <c r="F642" t="s">
        <v>28</v>
      </c>
      <c r="G642">
        <v>80.41</v>
      </c>
      <c r="H642">
        <v>10</v>
      </c>
      <c r="I642">
        <v>40.21</v>
      </c>
      <c r="J642">
        <v>844.31</v>
      </c>
      <c r="K642" t="s">
        <v>479</v>
      </c>
      <c r="L642" t="s">
        <v>143</v>
      </c>
      <c r="M642" t="s">
        <v>45</v>
      </c>
      <c r="N642">
        <v>804.1</v>
      </c>
      <c r="O642">
        <v>4.7618999999999998</v>
      </c>
      <c r="P642">
        <v>40.21</v>
      </c>
      <c r="Q642">
        <v>8</v>
      </c>
      <c r="R642" s="8">
        <f t="shared" si="9"/>
        <v>43492</v>
      </c>
    </row>
    <row r="643" spans="1:18" x14ac:dyDescent="0.35">
      <c r="A643" t="s">
        <v>895</v>
      </c>
      <c r="B643" t="s">
        <v>68</v>
      </c>
      <c r="C643" t="s">
        <v>69</v>
      </c>
      <c r="D643" t="s">
        <v>20</v>
      </c>
      <c r="E643" t="s">
        <v>42</v>
      </c>
      <c r="F643" t="s">
        <v>50</v>
      </c>
      <c r="G643">
        <v>41.31</v>
      </c>
      <c r="H643">
        <v>3</v>
      </c>
      <c r="I643">
        <v>6.2</v>
      </c>
      <c r="J643">
        <v>130.13</v>
      </c>
      <c r="K643" t="s">
        <v>29</v>
      </c>
      <c r="L643" t="s">
        <v>143</v>
      </c>
      <c r="M643" t="s">
        <v>25</v>
      </c>
      <c r="N643">
        <v>123.93</v>
      </c>
      <c r="O643">
        <v>4.7618999999999998</v>
      </c>
      <c r="P643">
        <v>6.2</v>
      </c>
      <c r="Q643">
        <v>7.4</v>
      </c>
      <c r="R643" s="8">
        <f t="shared" ref="R643:R680" si="10">DATEVALUE(K643)</f>
        <v>43530</v>
      </c>
    </row>
    <row r="644" spans="1:18" x14ac:dyDescent="0.35">
      <c r="A644" t="s">
        <v>896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>
        <v>27.24</v>
      </c>
      <c r="H644">
        <v>5</v>
      </c>
      <c r="I644">
        <v>6.81</v>
      </c>
      <c r="J644">
        <v>143.01</v>
      </c>
      <c r="K644" t="s">
        <v>175</v>
      </c>
      <c r="L644" t="s">
        <v>103</v>
      </c>
      <c r="M644" t="s">
        <v>25</v>
      </c>
      <c r="N644">
        <v>136.19999999999999</v>
      </c>
      <c r="O644">
        <v>4.7618999999999998</v>
      </c>
      <c r="P644">
        <v>6.81</v>
      </c>
      <c r="Q644">
        <v>4.5999999999999996</v>
      </c>
      <c r="R644" s="8">
        <f t="shared" si="10"/>
        <v>43487</v>
      </c>
    </row>
    <row r="645" spans="1:18" x14ac:dyDescent="0.35">
      <c r="A645" t="s">
        <v>897</v>
      </c>
      <c r="B645" t="s">
        <v>18</v>
      </c>
      <c r="C645" t="s">
        <v>19</v>
      </c>
      <c r="D645" t="s">
        <v>27</v>
      </c>
      <c r="E645" t="s">
        <v>42</v>
      </c>
      <c r="F645" t="s">
        <v>22</v>
      </c>
      <c r="G645">
        <v>63.04</v>
      </c>
      <c r="H645">
        <v>8</v>
      </c>
      <c r="I645">
        <v>25.22</v>
      </c>
      <c r="J645">
        <v>529.54</v>
      </c>
      <c r="K645" t="s">
        <v>274</v>
      </c>
      <c r="L645" t="s">
        <v>463</v>
      </c>
      <c r="M645" t="s">
        <v>35</v>
      </c>
      <c r="N645">
        <v>504.32</v>
      </c>
      <c r="O645">
        <v>4.7618999999999998</v>
      </c>
      <c r="P645">
        <v>25.22</v>
      </c>
      <c r="Q645">
        <v>9.9</v>
      </c>
      <c r="R645" s="8">
        <f t="shared" si="10"/>
        <v>43552</v>
      </c>
    </row>
    <row r="646" spans="1:18" x14ac:dyDescent="0.35">
      <c r="A646" t="s">
        <v>898</v>
      </c>
      <c r="B646" t="s">
        <v>68</v>
      </c>
      <c r="C646" t="s">
        <v>69</v>
      </c>
      <c r="D646" t="s">
        <v>20</v>
      </c>
      <c r="E646" t="s">
        <v>42</v>
      </c>
      <c r="F646" t="s">
        <v>28</v>
      </c>
      <c r="G646">
        <v>78.53</v>
      </c>
      <c r="H646">
        <v>6</v>
      </c>
      <c r="I646">
        <v>23.56</v>
      </c>
      <c r="J646">
        <v>494.74</v>
      </c>
      <c r="K646" t="s">
        <v>187</v>
      </c>
      <c r="L646" t="s">
        <v>63</v>
      </c>
      <c r="M646" t="s">
        <v>25</v>
      </c>
      <c r="N646">
        <v>471.18</v>
      </c>
      <c r="O646">
        <v>4.7618999999999998</v>
      </c>
      <c r="P646">
        <v>23.56</v>
      </c>
      <c r="Q646">
        <v>4.8</v>
      </c>
      <c r="R646" s="8">
        <f t="shared" si="10"/>
        <v>43481</v>
      </c>
    </row>
    <row r="647" spans="1:18" x14ac:dyDescent="0.35">
      <c r="A647" t="s">
        <v>899</v>
      </c>
      <c r="B647" t="s">
        <v>37</v>
      </c>
      <c r="C647" t="s">
        <v>38</v>
      </c>
      <c r="D647" t="s">
        <v>27</v>
      </c>
      <c r="E647" t="s">
        <v>21</v>
      </c>
      <c r="F647" t="s">
        <v>28</v>
      </c>
      <c r="G647">
        <v>39.53</v>
      </c>
      <c r="H647">
        <v>2</v>
      </c>
      <c r="I647">
        <v>3.95</v>
      </c>
      <c r="J647">
        <v>83.01</v>
      </c>
      <c r="K647" t="s">
        <v>142</v>
      </c>
      <c r="L647" t="s">
        <v>94</v>
      </c>
      <c r="M647" t="s">
        <v>25</v>
      </c>
      <c r="N647">
        <v>79.06</v>
      </c>
      <c r="O647">
        <v>4.7618999999999998</v>
      </c>
      <c r="P647">
        <v>3.95</v>
      </c>
      <c r="Q647">
        <v>8.4</v>
      </c>
      <c r="R647" s="8">
        <f t="shared" si="10"/>
        <v>43515</v>
      </c>
    </row>
    <row r="648" spans="1:18" x14ac:dyDescent="0.35">
      <c r="A648" t="s">
        <v>900</v>
      </c>
      <c r="B648" t="s">
        <v>37</v>
      </c>
      <c r="C648" t="s">
        <v>38</v>
      </c>
      <c r="D648" t="s">
        <v>20</v>
      </c>
      <c r="E648" t="s">
        <v>42</v>
      </c>
      <c r="F648" t="s">
        <v>61</v>
      </c>
      <c r="G648">
        <v>98.65</v>
      </c>
      <c r="H648">
        <v>7</v>
      </c>
      <c r="I648">
        <v>34.53</v>
      </c>
      <c r="J648">
        <v>725.08</v>
      </c>
      <c r="K648" t="s">
        <v>87</v>
      </c>
      <c r="L648" t="s">
        <v>180</v>
      </c>
      <c r="M648" t="s">
        <v>25</v>
      </c>
      <c r="N648">
        <v>690.55</v>
      </c>
      <c r="O648">
        <v>4.7618999999999998</v>
      </c>
      <c r="P648">
        <v>34.53</v>
      </c>
      <c r="Q648">
        <v>6.2</v>
      </c>
      <c r="R648" s="8">
        <f t="shared" si="10"/>
        <v>43490</v>
      </c>
    </row>
    <row r="649" spans="1:18" x14ac:dyDescent="0.35">
      <c r="A649" t="s">
        <v>901</v>
      </c>
      <c r="B649" t="s">
        <v>18</v>
      </c>
      <c r="C649" t="s">
        <v>19</v>
      </c>
      <c r="D649" t="s">
        <v>27</v>
      </c>
      <c r="E649" t="s">
        <v>21</v>
      </c>
      <c r="F649" t="s">
        <v>32</v>
      </c>
      <c r="G649">
        <v>49.43</v>
      </c>
      <c r="H649">
        <v>2</v>
      </c>
      <c r="I649">
        <v>4.9400000000000004</v>
      </c>
      <c r="J649">
        <v>103.8</v>
      </c>
      <c r="K649" t="s">
        <v>187</v>
      </c>
      <c r="L649" t="s">
        <v>880</v>
      </c>
      <c r="M649" t="s">
        <v>35</v>
      </c>
      <c r="N649">
        <v>98.86</v>
      </c>
      <c r="O649">
        <v>4.7618999999999998</v>
      </c>
      <c r="P649">
        <v>4.9400000000000004</v>
      </c>
      <c r="Q649">
        <v>8.1999999999999993</v>
      </c>
      <c r="R649" s="8">
        <f t="shared" si="10"/>
        <v>43481</v>
      </c>
    </row>
    <row r="650" spans="1:18" x14ac:dyDescent="0.35">
      <c r="A650" t="s">
        <v>902</v>
      </c>
      <c r="B650" t="s">
        <v>18</v>
      </c>
      <c r="C650" t="s">
        <v>19</v>
      </c>
      <c r="D650" t="s">
        <v>20</v>
      </c>
      <c r="E650" t="s">
        <v>21</v>
      </c>
      <c r="F650" t="s">
        <v>61</v>
      </c>
      <c r="G650">
        <v>97.77</v>
      </c>
      <c r="H650">
        <v>6</v>
      </c>
      <c r="I650">
        <v>29.33</v>
      </c>
      <c r="J650">
        <v>615.95000000000005</v>
      </c>
      <c r="K650" t="s">
        <v>133</v>
      </c>
      <c r="L650" t="s">
        <v>171</v>
      </c>
      <c r="M650" t="s">
        <v>45</v>
      </c>
      <c r="N650">
        <v>586.62</v>
      </c>
      <c r="O650">
        <v>4.7618999999999998</v>
      </c>
      <c r="P650">
        <v>29.33</v>
      </c>
      <c r="Q650">
        <v>5.4</v>
      </c>
      <c r="R650" s="8">
        <f t="shared" si="10"/>
        <v>43491</v>
      </c>
    </row>
    <row r="651" spans="1:18" x14ac:dyDescent="0.35">
      <c r="A651" t="s">
        <v>903</v>
      </c>
      <c r="B651" t="s">
        <v>18</v>
      </c>
      <c r="C651" t="s">
        <v>19</v>
      </c>
      <c r="D651" t="s">
        <v>27</v>
      </c>
      <c r="E651" t="s">
        <v>42</v>
      </c>
      <c r="F651" t="s">
        <v>22</v>
      </c>
      <c r="G651">
        <v>78.94</v>
      </c>
      <c r="H651">
        <v>10</v>
      </c>
      <c r="I651">
        <v>39.47</v>
      </c>
      <c r="J651">
        <v>828.87</v>
      </c>
      <c r="K651" t="s">
        <v>218</v>
      </c>
      <c r="L651" t="s">
        <v>119</v>
      </c>
      <c r="M651" t="s">
        <v>35</v>
      </c>
      <c r="N651">
        <v>789.4</v>
      </c>
      <c r="O651">
        <v>4.7618999999999998</v>
      </c>
      <c r="P651">
        <v>39.47</v>
      </c>
      <c r="Q651">
        <v>6.9</v>
      </c>
      <c r="R651" s="8">
        <f t="shared" si="10"/>
        <v>43500</v>
      </c>
    </row>
    <row r="652" spans="1:18" x14ac:dyDescent="0.35">
      <c r="A652" t="s">
        <v>904</v>
      </c>
      <c r="B652" t="s">
        <v>37</v>
      </c>
      <c r="C652" t="s">
        <v>38</v>
      </c>
      <c r="D652" t="s">
        <v>27</v>
      </c>
      <c r="E652" t="s">
        <v>42</v>
      </c>
      <c r="F652" t="s">
        <v>54</v>
      </c>
      <c r="G652">
        <v>79.12</v>
      </c>
      <c r="H652">
        <v>2</v>
      </c>
      <c r="I652">
        <v>7.91</v>
      </c>
      <c r="J652">
        <v>166.15</v>
      </c>
      <c r="K652" t="s">
        <v>187</v>
      </c>
      <c r="L652" t="s">
        <v>94</v>
      </c>
      <c r="M652" t="s">
        <v>35</v>
      </c>
      <c r="N652">
        <v>158.24</v>
      </c>
      <c r="O652">
        <v>4.7618999999999998</v>
      </c>
      <c r="P652">
        <v>7.91</v>
      </c>
      <c r="Q652">
        <v>5.4</v>
      </c>
      <c r="R652" s="8">
        <f t="shared" si="10"/>
        <v>43481</v>
      </c>
    </row>
    <row r="653" spans="1:18" x14ac:dyDescent="0.35">
      <c r="A653" t="s">
        <v>905</v>
      </c>
      <c r="B653" t="s">
        <v>68</v>
      </c>
      <c r="C653" t="s">
        <v>69</v>
      </c>
      <c r="D653" t="s">
        <v>20</v>
      </c>
      <c r="E653" t="s">
        <v>21</v>
      </c>
      <c r="F653" t="s">
        <v>28</v>
      </c>
      <c r="G653">
        <v>54.83</v>
      </c>
      <c r="H653">
        <v>1</v>
      </c>
      <c r="I653">
        <v>2.74</v>
      </c>
      <c r="J653">
        <v>57.57</v>
      </c>
      <c r="K653" t="s">
        <v>139</v>
      </c>
      <c r="L653" t="s">
        <v>906</v>
      </c>
      <c r="M653" t="s">
        <v>25</v>
      </c>
      <c r="N653">
        <v>54.83</v>
      </c>
      <c r="O653">
        <v>4.7618999999999998</v>
      </c>
      <c r="P653">
        <v>2.74</v>
      </c>
      <c r="Q653">
        <v>6</v>
      </c>
      <c r="R653" s="8">
        <f t="shared" si="10"/>
        <v>43488</v>
      </c>
    </row>
    <row r="654" spans="1:18" x14ac:dyDescent="0.35">
      <c r="A654" t="s">
        <v>907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>
        <v>77.64</v>
      </c>
      <c r="H654">
        <v>8</v>
      </c>
      <c r="I654">
        <v>31.06</v>
      </c>
      <c r="J654">
        <v>652.17999999999995</v>
      </c>
      <c r="K654" t="s">
        <v>51</v>
      </c>
      <c r="L654" t="s">
        <v>200</v>
      </c>
      <c r="M654" t="s">
        <v>25</v>
      </c>
      <c r="N654">
        <v>621.12</v>
      </c>
      <c r="O654">
        <v>4.7618999999999998</v>
      </c>
      <c r="P654">
        <v>31.06</v>
      </c>
      <c r="Q654">
        <v>7</v>
      </c>
      <c r="R654" s="8">
        <f t="shared" si="10"/>
        <v>43525</v>
      </c>
    </row>
    <row r="655" spans="1:18" x14ac:dyDescent="0.35">
      <c r="A655" t="s">
        <v>908</v>
      </c>
      <c r="B655" t="s">
        <v>37</v>
      </c>
      <c r="C655" t="s">
        <v>38</v>
      </c>
      <c r="D655" t="s">
        <v>27</v>
      </c>
      <c r="E655" t="s">
        <v>21</v>
      </c>
      <c r="F655" t="s">
        <v>28</v>
      </c>
      <c r="G655">
        <v>99.16</v>
      </c>
      <c r="H655">
        <v>2</v>
      </c>
      <c r="I655">
        <v>9.92</v>
      </c>
      <c r="J655">
        <v>208.24</v>
      </c>
      <c r="K655" t="s">
        <v>142</v>
      </c>
      <c r="L655" t="s">
        <v>134</v>
      </c>
      <c r="M655" t="s">
        <v>35</v>
      </c>
      <c r="N655">
        <v>198.32</v>
      </c>
      <c r="O655">
        <v>4.7618999999999998</v>
      </c>
      <c r="P655">
        <v>9.92</v>
      </c>
      <c r="Q655">
        <v>6.7</v>
      </c>
      <c r="R655" s="8">
        <f t="shared" si="10"/>
        <v>43515</v>
      </c>
    </row>
    <row r="656" spans="1:18" x14ac:dyDescent="0.35">
      <c r="A656" t="s">
        <v>909</v>
      </c>
      <c r="B656" t="s">
        <v>68</v>
      </c>
      <c r="C656" t="s">
        <v>69</v>
      </c>
      <c r="D656" t="s">
        <v>20</v>
      </c>
      <c r="E656" t="s">
        <v>42</v>
      </c>
      <c r="F656" t="s">
        <v>22</v>
      </c>
      <c r="G656">
        <v>24.77</v>
      </c>
      <c r="H656">
        <v>7</v>
      </c>
      <c r="I656">
        <v>8.67</v>
      </c>
      <c r="J656">
        <v>182.06</v>
      </c>
      <c r="K656" t="s">
        <v>23</v>
      </c>
      <c r="L656" t="s">
        <v>326</v>
      </c>
      <c r="M656" t="s">
        <v>35</v>
      </c>
      <c r="N656">
        <v>173.39</v>
      </c>
      <c r="O656">
        <v>4.7618999999999998</v>
      </c>
      <c r="P656">
        <v>8.67</v>
      </c>
      <c r="Q656">
        <v>6.9</v>
      </c>
      <c r="R656" s="8">
        <f t="shared" si="10"/>
        <v>43483</v>
      </c>
    </row>
    <row r="657" spans="1:18" x14ac:dyDescent="0.35">
      <c r="A657" t="s">
        <v>910</v>
      </c>
      <c r="B657" t="s">
        <v>18</v>
      </c>
      <c r="C657" t="s">
        <v>19</v>
      </c>
      <c r="D657" t="s">
        <v>27</v>
      </c>
      <c r="E657" t="s">
        <v>42</v>
      </c>
      <c r="F657" t="s">
        <v>32</v>
      </c>
      <c r="G657">
        <v>60.6</v>
      </c>
      <c r="H657">
        <v>3</v>
      </c>
      <c r="I657">
        <v>9.09</v>
      </c>
      <c r="J657">
        <v>190.89</v>
      </c>
      <c r="K657" t="s">
        <v>29</v>
      </c>
      <c r="L657" t="s">
        <v>350</v>
      </c>
      <c r="M657" t="s">
        <v>35</v>
      </c>
      <c r="N657">
        <v>181.8</v>
      </c>
      <c r="O657">
        <v>4.7618999999999998</v>
      </c>
      <c r="P657">
        <v>9.09</v>
      </c>
      <c r="Q657">
        <v>7</v>
      </c>
      <c r="R657" s="8">
        <f t="shared" si="10"/>
        <v>43530</v>
      </c>
    </row>
    <row r="658" spans="1:18" x14ac:dyDescent="0.35">
      <c r="A658" t="s">
        <v>911</v>
      </c>
      <c r="B658" t="s">
        <v>18</v>
      </c>
      <c r="C658" t="s">
        <v>19</v>
      </c>
      <c r="D658" t="s">
        <v>27</v>
      </c>
      <c r="E658" t="s">
        <v>42</v>
      </c>
      <c r="F658" t="s">
        <v>61</v>
      </c>
      <c r="G658">
        <v>15.53</v>
      </c>
      <c r="H658">
        <v>10</v>
      </c>
      <c r="I658">
        <v>7.77</v>
      </c>
      <c r="J658">
        <v>163.07</v>
      </c>
      <c r="K658" t="s">
        <v>245</v>
      </c>
      <c r="L658" t="s">
        <v>591</v>
      </c>
      <c r="M658" t="s">
        <v>35</v>
      </c>
      <c r="N658">
        <v>155.30000000000001</v>
      </c>
      <c r="O658">
        <v>4.7618999999999998</v>
      </c>
      <c r="P658">
        <v>7.77</v>
      </c>
      <c r="Q658">
        <v>8.9</v>
      </c>
      <c r="R658" s="8">
        <f t="shared" si="10"/>
        <v>43471</v>
      </c>
    </row>
    <row r="659" spans="1:18" x14ac:dyDescent="0.35">
      <c r="A659" t="s">
        <v>912</v>
      </c>
      <c r="B659" t="s">
        <v>68</v>
      </c>
      <c r="C659" t="s">
        <v>69</v>
      </c>
      <c r="D659" t="s">
        <v>27</v>
      </c>
      <c r="E659" t="s">
        <v>42</v>
      </c>
      <c r="F659" t="s">
        <v>28</v>
      </c>
      <c r="G659">
        <v>48.53</v>
      </c>
      <c r="H659">
        <v>6</v>
      </c>
      <c r="I659">
        <v>14.56</v>
      </c>
      <c r="J659">
        <v>305.74</v>
      </c>
      <c r="K659" t="s">
        <v>130</v>
      </c>
      <c r="L659" t="s">
        <v>255</v>
      </c>
      <c r="M659" t="s">
        <v>25</v>
      </c>
      <c r="N659">
        <v>291.18</v>
      </c>
      <c r="O659">
        <v>4.7618999999999998</v>
      </c>
      <c r="P659">
        <v>14.56</v>
      </c>
      <c r="Q659">
        <v>5.5</v>
      </c>
      <c r="R659" s="8">
        <f t="shared" si="10"/>
        <v>43518</v>
      </c>
    </row>
    <row r="660" spans="1:18" x14ac:dyDescent="0.35">
      <c r="A660" t="s">
        <v>913</v>
      </c>
      <c r="B660" t="s">
        <v>18</v>
      </c>
      <c r="C660" t="s">
        <v>19</v>
      </c>
      <c r="D660" t="s">
        <v>27</v>
      </c>
      <c r="E660" t="s">
        <v>21</v>
      </c>
      <c r="F660" t="s">
        <v>22</v>
      </c>
      <c r="G660">
        <v>15.9</v>
      </c>
      <c r="H660">
        <v>5</v>
      </c>
      <c r="I660">
        <v>3.98</v>
      </c>
      <c r="J660">
        <v>83.48</v>
      </c>
      <c r="K660" t="s">
        <v>209</v>
      </c>
      <c r="L660" t="s">
        <v>48</v>
      </c>
      <c r="M660" t="s">
        <v>45</v>
      </c>
      <c r="N660">
        <v>79.5</v>
      </c>
      <c r="O660">
        <v>4.7618999999999998</v>
      </c>
      <c r="P660">
        <v>3.98</v>
      </c>
      <c r="Q660">
        <v>7.2</v>
      </c>
      <c r="R660" s="8">
        <f t="shared" si="10"/>
        <v>43480</v>
      </c>
    </row>
    <row r="661" spans="1:18" x14ac:dyDescent="0.35">
      <c r="A661" t="s">
        <v>914</v>
      </c>
      <c r="B661" t="s">
        <v>37</v>
      </c>
      <c r="C661" t="s">
        <v>38</v>
      </c>
      <c r="D661" t="s">
        <v>27</v>
      </c>
      <c r="E661" t="s">
        <v>42</v>
      </c>
      <c r="F661" t="s">
        <v>61</v>
      </c>
      <c r="G661">
        <v>11.84</v>
      </c>
      <c r="H661">
        <v>8</v>
      </c>
      <c r="I661">
        <v>4.74</v>
      </c>
      <c r="J661">
        <v>99.46</v>
      </c>
      <c r="K661" t="s">
        <v>82</v>
      </c>
      <c r="L661" t="s">
        <v>284</v>
      </c>
      <c r="M661" t="s">
        <v>35</v>
      </c>
      <c r="N661">
        <v>94.72</v>
      </c>
      <c r="O661">
        <v>4.7618999999999998</v>
      </c>
      <c r="P661">
        <v>4.74</v>
      </c>
      <c r="Q661">
        <v>7.4</v>
      </c>
      <c r="R661" s="8">
        <f t="shared" si="10"/>
        <v>43541</v>
      </c>
    </row>
    <row r="662" spans="1:18" x14ac:dyDescent="0.35">
      <c r="A662" t="s">
        <v>915</v>
      </c>
      <c r="B662" t="s">
        <v>18</v>
      </c>
      <c r="C662" t="s">
        <v>19</v>
      </c>
      <c r="D662" t="s">
        <v>20</v>
      </c>
      <c r="E662" t="s">
        <v>42</v>
      </c>
      <c r="F662" t="s">
        <v>28</v>
      </c>
      <c r="G662">
        <v>72.180000000000007</v>
      </c>
      <c r="H662">
        <v>4</v>
      </c>
      <c r="I662">
        <v>14.44</v>
      </c>
      <c r="J662">
        <v>303.16000000000003</v>
      </c>
      <c r="K662" t="s">
        <v>240</v>
      </c>
      <c r="L662" t="s">
        <v>66</v>
      </c>
      <c r="M662" t="s">
        <v>25</v>
      </c>
      <c r="N662">
        <v>288.72000000000003</v>
      </c>
      <c r="O662">
        <v>4.7618999999999998</v>
      </c>
      <c r="P662">
        <v>14.44</v>
      </c>
      <c r="Q662">
        <v>6</v>
      </c>
      <c r="R662" s="8">
        <f t="shared" si="10"/>
        <v>43509</v>
      </c>
    </row>
    <row r="663" spans="1:18" x14ac:dyDescent="0.35">
      <c r="A663" t="s">
        <v>916</v>
      </c>
      <c r="B663" t="s">
        <v>37</v>
      </c>
      <c r="C663" t="s">
        <v>38</v>
      </c>
      <c r="D663" t="s">
        <v>27</v>
      </c>
      <c r="E663" t="s">
        <v>42</v>
      </c>
      <c r="F663" t="s">
        <v>54</v>
      </c>
      <c r="G663">
        <v>54.73</v>
      </c>
      <c r="H663">
        <v>2</v>
      </c>
      <c r="I663">
        <v>5.47</v>
      </c>
      <c r="J663">
        <v>114.93</v>
      </c>
      <c r="K663" t="s">
        <v>336</v>
      </c>
      <c r="L663" t="s">
        <v>200</v>
      </c>
      <c r="M663" t="s">
        <v>35</v>
      </c>
      <c r="N663">
        <v>109.46</v>
      </c>
      <c r="O663">
        <v>4.7618999999999998</v>
      </c>
      <c r="P663">
        <v>5.47</v>
      </c>
      <c r="Q663">
        <v>4.3</v>
      </c>
      <c r="R663" s="8">
        <f t="shared" si="10"/>
        <v>43534</v>
      </c>
    </row>
    <row r="664" spans="1:18" x14ac:dyDescent="0.35">
      <c r="A664" t="s">
        <v>917</v>
      </c>
      <c r="B664" t="s">
        <v>37</v>
      </c>
      <c r="C664" t="s">
        <v>38</v>
      </c>
      <c r="D664" t="s">
        <v>20</v>
      </c>
      <c r="E664" t="s">
        <v>21</v>
      </c>
      <c r="F664" t="s">
        <v>22</v>
      </c>
      <c r="G664">
        <v>85.98</v>
      </c>
      <c r="H664">
        <v>2</v>
      </c>
      <c r="I664">
        <v>8.6</v>
      </c>
      <c r="J664">
        <v>180.56</v>
      </c>
      <c r="K664" t="s">
        <v>82</v>
      </c>
      <c r="L664" t="s">
        <v>846</v>
      </c>
      <c r="M664" t="s">
        <v>45</v>
      </c>
      <c r="N664">
        <v>171.96</v>
      </c>
      <c r="O664">
        <v>4.7618999999999998</v>
      </c>
      <c r="P664">
        <v>8.6</v>
      </c>
      <c r="Q664">
        <v>7.4</v>
      </c>
      <c r="R664" s="8">
        <f t="shared" si="10"/>
        <v>43541</v>
      </c>
    </row>
    <row r="665" spans="1:18" x14ac:dyDescent="0.35">
      <c r="A665" t="s">
        <v>918</v>
      </c>
      <c r="B665" t="s">
        <v>37</v>
      </c>
      <c r="C665" t="s">
        <v>38</v>
      </c>
      <c r="D665" t="s">
        <v>27</v>
      </c>
      <c r="E665" t="s">
        <v>21</v>
      </c>
      <c r="F665" t="s">
        <v>61</v>
      </c>
      <c r="G665">
        <v>81.61</v>
      </c>
      <c r="H665">
        <v>5</v>
      </c>
      <c r="I665">
        <v>20.399999999999999</v>
      </c>
      <c r="J665">
        <v>428.45</v>
      </c>
      <c r="K665" t="s">
        <v>29</v>
      </c>
      <c r="L665" t="s">
        <v>368</v>
      </c>
      <c r="M665" t="s">
        <v>25</v>
      </c>
      <c r="N665">
        <v>408.05</v>
      </c>
      <c r="O665">
        <v>4.7618999999999998</v>
      </c>
      <c r="P665">
        <v>20.399999999999999</v>
      </c>
      <c r="Q665">
        <v>7.2</v>
      </c>
      <c r="R665" s="8">
        <f t="shared" si="10"/>
        <v>43530</v>
      </c>
    </row>
    <row r="666" spans="1:18" x14ac:dyDescent="0.35">
      <c r="A666" t="s">
        <v>919</v>
      </c>
      <c r="B666" t="s">
        <v>37</v>
      </c>
      <c r="C666" t="s">
        <v>38</v>
      </c>
      <c r="D666" t="s">
        <v>27</v>
      </c>
      <c r="E666" t="s">
        <v>42</v>
      </c>
      <c r="F666" t="s">
        <v>50</v>
      </c>
      <c r="G666">
        <v>56.38</v>
      </c>
      <c r="H666">
        <v>9</v>
      </c>
      <c r="I666">
        <v>25.37</v>
      </c>
      <c r="J666">
        <v>532.79</v>
      </c>
      <c r="K666" t="s">
        <v>93</v>
      </c>
      <c r="L666" t="s">
        <v>236</v>
      </c>
      <c r="M666" t="s">
        <v>25</v>
      </c>
      <c r="N666">
        <v>507.42</v>
      </c>
      <c r="O666">
        <v>4.7618999999999998</v>
      </c>
      <c r="P666">
        <v>25.37</v>
      </c>
      <c r="Q666">
        <v>7.1</v>
      </c>
      <c r="R666" s="8">
        <f t="shared" si="10"/>
        <v>43489</v>
      </c>
    </row>
    <row r="667" spans="1:18" x14ac:dyDescent="0.35">
      <c r="A667" t="s">
        <v>920</v>
      </c>
      <c r="B667" t="s">
        <v>18</v>
      </c>
      <c r="C667" t="s">
        <v>19</v>
      </c>
      <c r="D667" t="s">
        <v>27</v>
      </c>
      <c r="E667" t="s">
        <v>21</v>
      </c>
      <c r="F667" t="s">
        <v>22</v>
      </c>
      <c r="G667">
        <v>96.59</v>
      </c>
      <c r="H667">
        <v>8</v>
      </c>
      <c r="I667">
        <v>38.64</v>
      </c>
      <c r="J667">
        <v>811.36</v>
      </c>
      <c r="K667" t="s">
        <v>218</v>
      </c>
      <c r="L667" t="s">
        <v>289</v>
      </c>
      <c r="M667" t="s">
        <v>25</v>
      </c>
      <c r="N667">
        <v>772.72</v>
      </c>
      <c r="O667">
        <v>4.7618999999999998</v>
      </c>
      <c r="P667">
        <v>38.64</v>
      </c>
      <c r="Q667">
        <v>9.1</v>
      </c>
      <c r="R667" s="8">
        <f t="shared" si="10"/>
        <v>43500</v>
      </c>
    </row>
    <row r="668" spans="1:18" x14ac:dyDescent="0.35">
      <c r="A668" t="s">
        <v>921</v>
      </c>
      <c r="B668" t="s">
        <v>18</v>
      </c>
      <c r="C668" t="s">
        <v>19</v>
      </c>
      <c r="D668" t="s">
        <v>20</v>
      </c>
      <c r="E668" t="s">
        <v>21</v>
      </c>
      <c r="F668" t="s">
        <v>61</v>
      </c>
      <c r="G668">
        <v>51.62</v>
      </c>
      <c r="H668">
        <v>4</v>
      </c>
      <c r="I668">
        <v>10.32</v>
      </c>
      <c r="J668">
        <v>216.8</v>
      </c>
      <c r="K668" t="s">
        <v>477</v>
      </c>
      <c r="L668" t="s">
        <v>110</v>
      </c>
      <c r="M668" t="s">
        <v>35</v>
      </c>
      <c r="N668">
        <v>206.48</v>
      </c>
      <c r="O668">
        <v>4.7618999999999998</v>
      </c>
      <c r="P668">
        <v>10.32</v>
      </c>
      <c r="Q668">
        <v>6.5</v>
      </c>
      <c r="R668" s="8">
        <f t="shared" si="10"/>
        <v>43485</v>
      </c>
    </row>
    <row r="669" spans="1:18" x14ac:dyDescent="0.35">
      <c r="A669" t="s">
        <v>922</v>
      </c>
      <c r="B669" t="s">
        <v>68</v>
      </c>
      <c r="C669" t="s">
        <v>69</v>
      </c>
      <c r="D669" t="s">
        <v>20</v>
      </c>
      <c r="E669" t="s">
        <v>42</v>
      </c>
      <c r="F669" t="s">
        <v>61</v>
      </c>
      <c r="G669">
        <v>84.13</v>
      </c>
      <c r="H669">
        <v>3</v>
      </c>
      <c r="I669">
        <v>12.62</v>
      </c>
      <c r="J669">
        <v>265.01</v>
      </c>
      <c r="K669" t="s">
        <v>179</v>
      </c>
      <c r="L669" t="s">
        <v>375</v>
      </c>
      <c r="M669" t="s">
        <v>45</v>
      </c>
      <c r="N669">
        <v>252.39</v>
      </c>
      <c r="O669">
        <v>4.7618999999999998</v>
      </c>
      <c r="P669">
        <v>12.62</v>
      </c>
      <c r="Q669">
        <v>6.4</v>
      </c>
      <c r="R669" s="8">
        <f t="shared" si="10"/>
        <v>43498</v>
      </c>
    </row>
    <row r="670" spans="1:18" x14ac:dyDescent="0.35">
      <c r="A670" t="s">
        <v>923</v>
      </c>
      <c r="B670" t="s">
        <v>68</v>
      </c>
      <c r="C670" t="s">
        <v>69</v>
      </c>
      <c r="D670" t="s">
        <v>20</v>
      </c>
      <c r="E670" t="s">
        <v>21</v>
      </c>
      <c r="F670" t="s">
        <v>54</v>
      </c>
      <c r="G670">
        <v>81.73</v>
      </c>
      <c r="H670">
        <v>5</v>
      </c>
      <c r="I670">
        <v>20.43</v>
      </c>
      <c r="J670">
        <v>429.08</v>
      </c>
      <c r="K670" t="s">
        <v>51</v>
      </c>
      <c r="L670" t="s">
        <v>66</v>
      </c>
      <c r="M670" t="s">
        <v>35</v>
      </c>
      <c r="N670">
        <v>408.65</v>
      </c>
      <c r="O670">
        <v>4.7618999999999998</v>
      </c>
      <c r="P670">
        <v>20.43</v>
      </c>
      <c r="Q670">
        <v>6.5</v>
      </c>
      <c r="R670" s="8">
        <f t="shared" si="10"/>
        <v>43525</v>
      </c>
    </row>
    <row r="671" spans="1:18" x14ac:dyDescent="0.35">
      <c r="A671" t="s">
        <v>924</v>
      </c>
      <c r="B671" t="s">
        <v>68</v>
      </c>
      <c r="C671" t="s">
        <v>69</v>
      </c>
      <c r="D671" t="s">
        <v>20</v>
      </c>
      <c r="E671" t="s">
        <v>42</v>
      </c>
      <c r="F671" t="s">
        <v>54</v>
      </c>
      <c r="G671">
        <v>12.62</v>
      </c>
      <c r="H671">
        <v>5</v>
      </c>
      <c r="I671">
        <v>3.16</v>
      </c>
      <c r="J671">
        <v>66.260000000000005</v>
      </c>
      <c r="K671" t="s">
        <v>78</v>
      </c>
      <c r="L671" t="s">
        <v>372</v>
      </c>
      <c r="M671" t="s">
        <v>25</v>
      </c>
      <c r="N671">
        <v>63.1</v>
      </c>
      <c r="O671">
        <v>4.7618999999999998</v>
      </c>
      <c r="P671">
        <v>3.16</v>
      </c>
      <c r="Q671">
        <v>9.1</v>
      </c>
      <c r="R671" s="8">
        <f t="shared" si="10"/>
        <v>43550</v>
      </c>
    </row>
    <row r="672" spans="1:18" x14ac:dyDescent="0.35">
      <c r="A672" t="s">
        <v>925</v>
      </c>
      <c r="B672" t="s">
        <v>37</v>
      </c>
      <c r="C672" t="s">
        <v>38</v>
      </c>
      <c r="D672" t="s">
        <v>20</v>
      </c>
      <c r="E672" t="s">
        <v>21</v>
      </c>
      <c r="F672" t="s">
        <v>28</v>
      </c>
      <c r="G672">
        <v>38.25</v>
      </c>
      <c r="H672">
        <v>5</v>
      </c>
      <c r="I672">
        <v>9.56</v>
      </c>
      <c r="J672">
        <v>200.81</v>
      </c>
      <c r="K672" t="s">
        <v>167</v>
      </c>
      <c r="L672" t="s">
        <v>34</v>
      </c>
      <c r="M672" t="s">
        <v>25</v>
      </c>
      <c r="N672">
        <v>191.25</v>
      </c>
      <c r="O672">
        <v>4.7618999999999998</v>
      </c>
      <c r="P672">
        <v>9.56</v>
      </c>
      <c r="Q672">
        <v>7.9</v>
      </c>
      <c r="R672" s="8">
        <f t="shared" si="10"/>
        <v>43474</v>
      </c>
    </row>
    <row r="673" spans="1:18" x14ac:dyDescent="0.35">
      <c r="A673" t="s">
        <v>926</v>
      </c>
      <c r="B673" t="s">
        <v>37</v>
      </c>
      <c r="C673" t="s">
        <v>38</v>
      </c>
      <c r="D673" t="s">
        <v>20</v>
      </c>
      <c r="E673" t="s">
        <v>21</v>
      </c>
      <c r="F673" t="s">
        <v>28</v>
      </c>
      <c r="G673">
        <v>61.39</v>
      </c>
      <c r="H673">
        <v>9</v>
      </c>
      <c r="I673">
        <v>27.63</v>
      </c>
      <c r="J673">
        <v>580.14</v>
      </c>
      <c r="K673" t="s">
        <v>187</v>
      </c>
      <c r="L673" t="s">
        <v>227</v>
      </c>
      <c r="M673" t="s">
        <v>25</v>
      </c>
      <c r="N673">
        <v>552.51</v>
      </c>
      <c r="O673">
        <v>4.7618999999999998</v>
      </c>
      <c r="P673">
        <v>27.63</v>
      </c>
      <c r="Q673">
        <v>9.6999999999999993</v>
      </c>
      <c r="R673" s="8">
        <f t="shared" si="10"/>
        <v>43481</v>
      </c>
    </row>
    <row r="674" spans="1:18" x14ac:dyDescent="0.35">
      <c r="A674" t="s">
        <v>927</v>
      </c>
      <c r="B674" t="s">
        <v>37</v>
      </c>
      <c r="C674" t="s">
        <v>38</v>
      </c>
      <c r="D674" t="s">
        <v>27</v>
      </c>
      <c r="E674" t="s">
        <v>21</v>
      </c>
      <c r="F674" t="s">
        <v>54</v>
      </c>
      <c r="G674">
        <v>63.98</v>
      </c>
      <c r="H674">
        <v>6</v>
      </c>
      <c r="I674">
        <v>19.190000000000001</v>
      </c>
      <c r="J674">
        <v>403.07</v>
      </c>
      <c r="K674" t="s">
        <v>229</v>
      </c>
      <c r="L674" t="s">
        <v>435</v>
      </c>
      <c r="M674" t="s">
        <v>35</v>
      </c>
      <c r="N674">
        <v>383.88</v>
      </c>
      <c r="O674">
        <v>4.7618999999999998</v>
      </c>
      <c r="P674">
        <v>19.190000000000001</v>
      </c>
      <c r="Q674">
        <v>8.8000000000000007</v>
      </c>
      <c r="R674" s="8">
        <f t="shared" si="10"/>
        <v>43508</v>
      </c>
    </row>
    <row r="675" spans="1:18" x14ac:dyDescent="0.35">
      <c r="A675" t="s">
        <v>928</v>
      </c>
      <c r="B675" t="s">
        <v>68</v>
      </c>
      <c r="C675" t="s">
        <v>69</v>
      </c>
      <c r="D675" t="s">
        <v>27</v>
      </c>
      <c r="E675" t="s">
        <v>21</v>
      </c>
      <c r="F675" t="s">
        <v>54</v>
      </c>
      <c r="G675">
        <v>19.61</v>
      </c>
      <c r="H675">
        <v>4</v>
      </c>
      <c r="I675">
        <v>3.92</v>
      </c>
      <c r="J675">
        <v>82.36</v>
      </c>
      <c r="K675" t="s">
        <v>136</v>
      </c>
      <c r="L675" t="s">
        <v>307</v>
      </c>
      <c r="M675" t="s">
        <v>35</v>
      </c>
      <c r="N675">
        <v>78.44</v>
      </c>
      <c r="O675">
        <v>4.7618999999999998</v>
      </c>
      <c r="P675">
        <v>3.92</v>
      </c>
      <c r="Q675">
        <v>9.1999999999999993</v>
      </c>
      <c r="R675" s="8">
        <f t="shared" si="10"/>
        <v>43501</v>
      </c>
    </row>
    <row r="676" spans="1:18" x14ac:dyDescent="0.35">
      <c r="A676" t="s">
        <v>929</v>
      </c>
      <c r="B676" t="s">
        <v>37</v>
      </c>
      <c r="C676" t="s">
        <v>38</v>
      </c>
      <c r="D676" t="s">
        <v>27</v>
      </c>
      <c r="E676" t="s">
        <v>21</v>
      </c>
      <c r="F676" t="s">
        <v>61</v>
      </c>
      <c r="G676">
        <v>59.12</v>
      </c>
      <c r="H676">
        <v>8</v>
      </c>
      <c r="I676">
        <v>23.65</v>
      </c>
      <c r="J676">
        <v>496.61</v>
      </c>
      <c r="K676" t="s">
        <v>295</v>
      </c>
      <c r="L676" t="s">
        <v>200</v>
      </c>
      <c r="M676" t="s">
        <v>45</v>
      </c>
      <c r="N676">
        <v>472.96</v>
      </c>
      <c r="O676">
        <v>4.7618999999999998</v>
      </c>
      <c r="P676">
        <v>23.65</v>
      </c>
      <c r="Q676">
        <v>6.2</v>
      </c>
      <c r="R676" s="8">
        <f t="shared" si="10"/>
        <v>43553</v>
      </c>
    </row>
    <row r="677" spans="1:18" x14ac:dyDescent="0.35">
      <c r="A677" t="s">
        <v>930</v>
      </c>
      <c r="B677" t="s">
        <v>37</v>
      </c>
      <c r="C677" t="s">
        <v>38</v>
      </c>
      <c r="D677" t="s">
        <v>27</v>
      </c>
      <c r="E677" t="s">
        <v>21</v>
      </c>
      <c r="F677" t="s">
        <v>22</v>
      </c>
      <c r="G677">
        <v>97.01</v>
      </c>
      <c r="H677">
        <v>10</v>
      </c>
      <c r="I677">
        <v>48.51</v>
      </c>
      <c r="J677">
        <v>1018.61</v>
      </c>
      <c r="K677" t="s">
        <v>231</v>
      </c>
      <c r="L677" t="s">
        <v>631</v>
      </c>
      <c r="M677" t="s">
        <v>25</v>
      </c>
      <c r="N677">
        <v>970.1</v>
      </c>
      <c r="O677">
        <v>4.7618999999999998</v>
      </c>
      <c r="P677">
        <v>48.51</v>
      </c>
      <c r="Q677">
        <v>9.5</v>
      </c>
      <c r="R677" s="8">
        <f t="shared" si="10"/>
        <v>43470</v>
      </c>
    </row>
    <row r="678" spans="1:18" x14ac:dyDescent="0.35">
      <c r="A678" t="s">
        <v>931</v>
      </c>
      <c r="B678" t="s">
        <v>68</v>
      </c>
      <c r="C678" t="s">
        <v>69</v>
      </c>
      <c r="D678" t="s">
        <v>27</v>
      </c>
      <c r="E678" t="s">
        <v>42</v>
      </c>
      <c r="F678" t="s">
        <v>61</v>
      </c>
      <c r="G678">
        <v>67.510000000000005</v>
      </c>
      <c r="H678">
        <v>6</v>
      </c>
      <c r="I678">
        <v>20.25</v>
      </c>
      <c r="J678">
        <v>425.31</v>
      </c>
      <c r="K678" t="s">
        <v>295</v>
      </c>
      <c r="L678" t="s">
        <v>843</v>
      </c>
      <c r="M678" t="s">
        <v>45</v>
      </c>
      <c r="N678">
        <v>405.06</v>
      </c>
      <c r="O678">
        <v>4.7618999999999998</v>
      </c>
      <c r="P678">
        <v>20.25</v>
      </c>
      <c r="Q678">
        <v>9.1</v>
      </c>
      <c r="R678" s="8">
        <f t="shared" si="10"/>
        <v>43553</v>
      </c>
    </row>
    <row r="679" spans="1:18" x14ac:dyDescent="0.35">
      <c r="A679" t="s">
        <v>932</v>
      </c>
      <c r="B679" t="s">
        <v>68</v>
      </c>
      <c r="C679" t="s">
        <v>69</v>
      </c>
      <c r="D679" t="s">
        <v>27</v>
      </c>
      <c r="E679" t="s">
        <v>42</v>
      </c>
      <c r="F679" t="s">
        <v>61</v>
      </c>
      <c r="G679">
        <v>18.12</v>
      </c>
      <c r="H679">
        <v>4</v>
      </c>
      <c r="I679">
        <v>3.62</v>
      </c>
      <c r="J679">
        <v>76.099999999999994</v>
      </c>
      <c r="K679" t="s">
        <v>113</v>
      </c>
      <c r="L679" t="s">
        <v>97</v>
      </c>
      <c r="M679" t="s">
        <v>35</v>
      </c>
      <c r="N679">
        <v>72.48</v>
      </c>
      <c r="O679">
        <v>4.7618999999999998</v>
      </c>
      <c r="P679">
        <v>3.62</v>
      </c>
      <c r="Q679">
        <v>7.8</v>
      </c>
      <c r="R679" s="8">
        <f t="shared" si="10"/>
        <v>43504</v>
      </c>
    </row>
    <row r="680" spans="1:18" x14ac:dyDescent="0.35">
      <c r="A680" t="s">
        <v>933</v>
      </c>
      <c r="B680" t="s">
        <v>18</v>
      </c>
      <c r="C680" t="s">
        <v>19</v>
      </c>
      <c r="D680" t="s">
        <v>27</v>
      </c>
      <c r="E680" t="s">
        <v>21</v>
      </c>
      <c r="F680" t="s">
        <v>61</v>
      </c>
      <c r="G680">
        <v>87.98</v>
      </c>
      <c r="H680">
        <v>8</v>
      </c>
      <c r="I680">
        <v>35.19</v>
      </c>
      <c r="J680">
        <v>739.03</v>
      </c>
      <c r="K680" t="s">
        <v>226</v>
      </c>
      <c r="L680" t="s">
        <v>34</v>
      </c>
      <c r="M680" t="s">
        <v>25</v>
      </c>
      <c r="N680">
        <v>703.84</v>
      </c>
      <c r="O680">
        <v>4.7618999999999998</v>
      </c>
      <c r="P680">
        <v>35.19</v>
      </c>
      <c r="Q680">
        <v>6.5</v>
      </c>
      <c r="R680" s="8">
        <f t="shared" si="10"/>
        <v>43526</v>
      </c>
    </row>
    <row r="681" spans="1:18" x14ac:dyDescent="0.35">
      <c r="A681" t="s">
        <v>934</v>
      </c>
      <c r="B681" t="s">
        <v>68</v>
      </c>
      <c r="C681" t="s">
        <v>69</v>
      </c>
      <c r="D681" t="s">
        <v>20</v>
      </c>
      <c r="E681" t="s">
        <v>42</v>
      </c>
      <c r="F681" t="s">
        <v>50</v>
      </c>
      <c r="G681">
        <v>15.97</v>
      </c>
      <c r="H681">
        <v>7</v>
      </c>
      <c r="I681">
        <v>5.59</v>
      </c>
      <c r="J681">
        <v>117.38</v>
      </c>
      <c r="K681" t="s">
        <v>39</v>
      </c>
      <c r="L681" t="s">
        <v>625</v>
      </c>
      <c r="M681" t="s">
        <v>35</v>
      </c>
      <c r="N681">
        <v>111.79</v>
      </c>
      <c r="O681">
        <v>4.7618999999999998</v>
      </c>
      <c r="P681">
        <v>5.59</v>
      </c>
      <c r="Q681">
        <v>6.7</v>
      </c>
      <c r="R681" s="8">
        <f>DATEVALUE(K681)</f>
        <v>43543</v>
      </c>
    </row>
    <row r="682" spans="1:18" x14ac:dyDescent="0.35">
      <c r="A682" t="s">
        <v>935</v>
      </c>
      <c r="B682" t="s">
        <v>68</v>
      </c>
      <c r="C682" t="s">
        <v>69</v>
      </c>
      <c r="D682" t="s">
        <v>20</v>
      </c>
      <c r="E682" t="s">
        <v>42</v>
      </c>
      <c r="F682" t="s">
        <v>22</v>
      </c>
      <c r="G682">
        <v>22.25</v>
      </c>
      <c r="H682">
        <v>7</v>
      </c>
      <c r="I682">
        <v>7.79</v>
      </c>
      <c r="J682">
        <v>163.54</v>
      </c>
      <c r="K682" t="s">
        <v>133</v>
      </c>
      <c r="L682" t="s">
        <v>110</v>
      </c>
      <c r="M682" t="s">
        <v>35</v>
      </c>
      <c r="N682">
        <v>155.75</v>
      </c>
      <c r="O682">
        <v>4.7618999999999998</v>
      </c>
      <c r="P682">
        <v>7.79</v>
      </c>
      <c r="Q682">
        <v>7.5</v>
      </c>
      <c r="R682" s="8">
        <f t="shared" ref="R682:R745" si="11">DATEVALUE(K682)</f>
        <v>43491</v>
      </c>
    </row>
    <row r="683" spans="1:18" x14ac:dyDescent="0.35">
      <c r="A683" t="s">
        <v>936</v>
      </c>
      <c r="B683" t="s">
        <v>68</v>
      </c>
      <c r="C683" t="s">
        <v>69</v>
      </c>
      <c r="D683" t="s">
        <v>20</v>
      </c>
      <c r="E683" t="s">
        <v>21</v>
      </c>
      <c r="F683" t="s">
        <v>50</v>
      </c>
      <c r="G683">
        <v>71.72</v>
      </c>
      <c r="H683">
        <v>6</v>
      </c>
      <c r="I683">
        <v>21.52</v>
      </c>
      <c r="J683">
        <v>451.84</v>
      </c>
      <c r="K683" t="s">
        <v>322</v>
      </c>
      <c r="L683" t="s">
        <v>152</v>
      </c>
      <c r="M683" t="s">
        <v>45</v>
      </c>
      <c r="N683">
        <v>430.32</v>
      </c>
      <c r="O683">
        <v>4.7618999999999998</v>
      </c>
      <c r="P683">
        <v>21.52</v>
      </c>
      <c r="Q683">
        <v>5.6</v>
      </c>
      <c r="R683" s="8">
        <f t="shared" si="11"/>
        <v>43523</v>
      </c>
    </row>
    <row r="684" spans="1:18" x14ac:dyDescent="0.35">
      <c r="A684" t="s">
        <v>937</v>
      </c>
      <c r="B684" t="s">
        <v>18</v>
      </c>
      <c r="C684" t="s">
        <v>19</v>
      </c>
      <c r="D684" t="s">
        <v>27</v>
      </c>
      <c r="E684" t="s">
        <v>42</v>
      </c>
      <c r="F684" t="s">
        <v>54</v>
      </c>
      <c r="G684">
        <v>17.600000000000001</v>
      </c>
      <c r="H684">
        <v>6</v>
      </c>
      <c r="I684">
        <v>5.28</v>
      </c>
      <c r="J684">
        <v>110.88</v>
      </c>
      <c r="K684" t="s">
        <v>93</v>
      </c>
      <c r="L684" t="s">
        <v>168</v>
      </c>
      <c r="M684" t="s">
        <v>25</v>
      </c>
      <c r="N684">
        <v>105.6</v>
      </c>
      <c r="O684">
        <v>4.7618999999999998</v>
      </c>
      <c r="P684">
        <v>5.28</v>
      </c>
      <c r="Q684">
        <v>5.3</v>
      </c>
      <c r="R684" s="8">
        <f t="shared" si="11"/>
        <v>43489</v>
      </c>
    </row>
    <row r="685" spans="1:18" x14ac:dyDescent="0.35">
      <c r="A685" t="s">
        <v>938</v>
      </c>
      <c r="B685" t="s">
        <v>18</v>
      </c>
      <c r="C685" t="s">
        <v>19</v>
      </c>
      <c r="D685" t="s">
        <v>20</v>
      </c>
      <c r="E685" t="s">
        <v>21</v>
      </c>
      <c r="F685" t="s">
        <v>32</v>
      </c>
      <c r="G685">
        <v>27.84</v>
      </c>
      <c r="H685">
        <v>3</v>
      </c>
      <c r="I685">
        <v>4.18</v>
      </c>
      <c r="J685">
        <v>87.7</v>
      </c>
      <c r="K685" t="s">
        <v>387</v>
      </c>
      <c r="L685" t="s">
        <v>906</v>
      </c>
      <c r="M685" t="s">
        <v>35</v>
      </c>
      <c r="N685">
        <v>83.52</v>
      </c>
      <c r="O685">
        <v>4.7618999999999998</v>
      </c>
      <c r="P685">
        <v>4.18</v>
      </c>
      <c r="Q685">
        <v>7.6</v>
      </c>
      <c r="R685" s="8">
        <f t="shared" si="11"/>
        <v>43472</v>
      </c>
    </row>
    <row r="686" spans="1:18" x14ac:dyDescent="0.35">
      <c r="A686" t="s">
        <v>939</v>
      </c>
      <c r="B686" t="s">
        <v>68</v>
      </c>
      <c r="C686" t="s">
        <v>69</v>
      </c>
      <c r="D686" t="s">
        <v>27</v>
      </c>
      <c r="E686" t="s">
        <v>21</v>
      </c>
      <c r="F686" t="s">
        <v>50</v>
      </c>
      <c r="G686">
        <v>20.56</v>
      </c>
      <c r="H686">
        <v>9</v>
      </c>
      <c r="I686">
        <v>9.25</v>
      </c>
      <c r="J686">
        <v>194.29</v>
      </c>
      <c r="K686" t="s">
        <v>70</v>
      </c>
      <c r="L686" t="s">
        <v>370</v>
      </c>
      <c r="M686" t="s">
        <v>35</v>
      </c>
      <c r="N686">
        <v>185.04</v>
      </c>
      <c r="O686">
        <v>4.7618999999999998</v>
      </c>
      <c r="P686">
        <v>9.25</v>
      </c>
      <c r="Q686">
        <v>4.7</v>
      </c>
      <c r="R686" s="8">
        <f t="shared" si="11"/>
        <v>43521</v>
      </c>
    </row>
    <row r="687" spans="1:18" x14ac:dyDescent="0.35">
      <c r="A687" t="s">
        <v>940</v>
      </c>
      <c r="B687" t="s">
        <v>68</v>
      </c>
      <c r="C687" t="s">
        <v>69</v>
      </c>
      <c r="D687" t="s">
        <v>20</v>
      </c>
      <c r="E687" t="s">
        <v>42</v>
      </c>
      <c r="F687" t="s">
        <v>61</v>
      </c>
      <c r="G687">
        <v>77.180000000000007</v>
      </c>
      <c r="H687">
        <v>7</v>
      </c>
      <c r="I687">
        <v>27.01</v>
      </c>
      <c r="J687">
        <v>567.27</v>
      </c>
      <c r="K687" t="s">
        <v>124</v>
      </c>
      <c r="L687" t="s">
        <v>384</v>
      </c>
      <c r="M687" t="s">
        <v>25</v>
      </c>
      <c r="N687">
        <v>540.26</v>
      </c>
      <c r="O687">
        <v>4.7618999999999998</v>
      </c>
      <c r="P687">
        <v>27.01</v>
      </c>
      <c r="Q687">
        <v>5.3</v>
      </c>
      <c r="R687" s="8">
        <f t="shared" si="11"/>
        <v>43482</v>
      </c>
    </row>
    <row r="688" spans="1:18" x14ac:dyDescent="0.35">
      <c r="A688" t="s">
        <v>941</v>
      </c>
      <c r="B688" t="s">
        <v>37</v>
      </c>
      <c r="C688" t="s">
        <v>38</v>
      </c>
      <c r="D688" t="s">
        <v>20</v>
      </c>
      <c r="E688" t="s">
        <v>42</v>
      </c>
      <c r="F688" t="s">
        <v>54</v>
      </c>
      <c r="G688">
        <v>46.77</v>
      </c>
      <c r="H688">
        <v>3</v>
      </c>
      <c r="I688">
        <v>7.02</v>
      </c>
      <c r="J688">
        <v>147.33000000000001</v>
      </c>
      <c r="K688" t="s">
        <v>223</v>
      </c>
      <c r="L688" t="s">
        <v>203</v>
      </c>
      <c r="M688" t="s">
        <v>45</v>
      </c>
      <c r="N688">
        <v>140.31</v>
      </c>
      <c r="O688">
        <v>4.7618999999999998</v>
      </c>
      <c r="P688">
        <v>7.02</v>
      </c>
      <c r="Q688">
        <v>7.7</v>
      </c>
      <c r="R688" s="8">
        <f t="shared" si="11"/>
        <v>43469</v>
      </c>
    </row>
    <row r="689" spans="1:18" x14ac:dyDescent="0.35">
      <c r="A689" t="s">
        <v>942</v>
      </c>
      <c r="B689" t="s">
        <v>37</v>
      </c>
      <c r="C689" t="s">
        <v>38</v>
      </c>
      <c r="D689" t="s">
        <v>27</v>
      </c>
      <c r="E689" t="s">
        <v>21</v>
      </c>
      <c r="F689" t="s">
        <v>28</v>
      </c>
      <c r="G689">
        <v>52.2</v>
      </c>
      <c r="H689">
        <v>6</v>
      </c>
      <c r="I689">
        <v>15.66</v>
      </c>
      <c r="J689">
        <v>328.86</v>
      </c>
      <c r="K689" t="s">
        <v>470</v>
      </c>
      <c r="L689" t="s">
        <v>80</v>
      </c>
      <c r="M689" t="s">
        <v>45</v>
      </c>
      <c r="N689">
        <v>313.2</v>
      </c>
      <c r="O689">
        <v>4.7618999999999998</v>
      </c>
      <c r="P689">
        <v>15.66</v>
      </c>
      <c r="Q689">
        <v>8.3000000000000007</v>
      </c>
      <c r="R689" s="8">
        <f t="shared" si="11"/>
        <v>43554</v>
      </c>
    </row>
    <row r="690" spans="1:18" x14ac:dyDescent="0.35">
      <c r="A690" t="s">
        <v>943</v>
      </c>
      <c r="B690" t="s">
        <v>37</v>
      </c>
      <c r="C690" t="s">
        <v>38</v>
      </c>
      <c r="D690" t="s">
        <v>27</v>
      </c>
      <c r="E690" t="s">
        <v>21</v>
      </c>
      <c r="F690" t="s">
        <v>28</v>
      </c>
      <c r="G690">
        <v>60.13</v>
      </c>
      <c r="H690">
        <v>1</v>
      </c>
      <c r="I690">
        <v>3.01</v>
      </c>
      <c r="J690">
        <v>63.14</v>
      </c>
      <c r="K690" t="s">
        <v>229</v>
      </c>
      <c r="L690" t="s">
        <v>173</v>
      </c>
      <c r="M690" t="s">
        <v>35</v>
      </c>
      <c r="N690">
        <v>60.13</v>
      </c>
      <c r="O690">
        <v>4.7618999999999998</v>
      </c>
      <c r="P690">
        <v>3.01</v>
      </c>
      <c r="Q690">
        <v>10</v>
      </c>
      <c r="R690" s="8">
        <f t="shared" si="11"/>
        <v>43508</v>
      </c>
    </row>
    <row r="691" spans="1:18" x14ac:dyDescent="0.35">
      <c r="A691" t="s">
        <v>944</v>
      </c>
      <c r="B691" t="s">
        <v>18</v>
      </c>
      <c r="C691" t="s">
        <v>19</v>
      </c>
      <c r="D691" t="s">
        <v>20</v>
      </c>
      <c r="E691" t="s">
        <v>21</v>
      </c>
      <c r="F691" t="s">
        <v>61</v>
      </c>
      <c r="G691">
        <v>55.41</v>
      </c>
      <c r="H691">
        <v>7</v>
      </c>
      <c r="I691">
        <v>19.39</v>
      </c>
      <c r="J691">
        <v>407.26</v>
      </c>
      <c r="K691" t="s">
        <v>113</v>
      </c>
      <c r="L691" t="s">
        <v>80</v>
      </c>
      <c r="M691" t="s">
        <v>35</v>
      </c>
      <c r="N691">
        <v>387.87</v>
      </c>
      <c r="O691">
        <v>4.7618999999999998</v>
      </c>
      <c r="P691">
        <v>19.39</v>
      </c>
      <c r="Q691">
        <v>4.8</v>
      </c>
      <c r="R691" s="8">
        <f t="shared" si="11"/>
        <v>43504</v>
      </c>
    </row>
    <row r="692" spans="1:18" x14ac:dyDescent="0.35">
      <c r="A692" t="s">
        <v>945</v>
      </c>
      <c r="B692" t="s">
        <v>68</v>
      </c>
      <c r="C692" t="s">
        <v>69</v>
      </c>
      <c r="D692" t="s">
        <v>20</v>
      </c>
      <c r="E692" t="s">
        <v>42</v>
      </c>
      <c r="F692" t="s">
        <v>54</v>
      </c>
      <c r="G692">
        <v>55.34</v>
      </c>
      <c r="H692">
        <v>6</v>
      </c>
      <c r="I692">
        <v>16.600000000000001</v>
      </c>
      <c r="J692">
        <v>348.64</v>
      </c>
      <c r="K692" t="s">
        <v>51</v>
      </c>
      <c r="L692" t="s">
        <v>219</v>
      </c>
      <c r="M692" t="s">
        <v>35</v>
      </c>
      <c r="N692">
        <v>332.04</v>
      </c>
      <c r="O692">
        <v>4.7618999999999998</v>
      </c>
      <c r="P692">
        <v>16.600000000000001</v>
      </c>
      <c r="Q692">
        <v>8.3000000000000007</v>
      </c>
      <c r="R692" s="8">
        <f t="shared" si="11"/>
        <v>43525</v>
      </c>
    </row>
    <row r="693" spans="1:18" x14ac:dyDescent="0.35">
      <c r="A693" t="s">
        <v>946</v>
      </c>
      <c r="B693" t="s">
        <v>68</v>
      </c>
      <c r="C693" t="s">
        <v>69</v>
      </c>
      <c r="D693" t="s">
        <v>27</v>
      </c>
      <c r="E693" t="s">
        <v>21</v>
      </c>
      <c r="F693" t="s">
        <v>61</v>
      </c>
      <c r="G693">
        <v>13.97</v>
      </c>
      <c r="H693">
        <v>3</v>
      </c>
      <c r="I693">
        <v>2.1</v>
      </c>
      <c r="J693">
        <v>44.01</v>
      </c>
      <c r="K693" t="s">
        <v>521</v>
      </c>
      <c r="L693" t="s">
        <v>326</v>
      </c>
      <c r="M693" t="s">
        <v>35</v>
      </c>
      <c r="N693">
        <v>41.91</v>
      </c>
      <c r="O693">
        <v>4.7618999999999998</v>
      </c>
      <c r="P693">
        <v>2.1</v>
      </c>
      <c r="Q693">
        <v>9.6</v>
      </c>
      <c r="R693" s="8">
        <f t="shared" si="11"/>
        <v>43529</v>
      </c>
    </row>
    <row r="694" spans="1:18" x14ac:dyDescent="0.35">
      <c r="A694" t="s">
        <v>947</v>
      </c>
      <c r="B694" t="s">
        <v>37</v>
      </c>
      <c r="C694" t="s">
        <v>38</v>
      </c>
      <c r="D694" t="s">
        <v>27</v>
      </c>
      <c r="E694" t="s">
        <v>42</v>
      </c>
      <c r="F694" t="s">
        <v>32</v>
      </c>
      <c r="G694">
        <v>90.34</v>
      </c>
      <c r="H694">
        <v>6</v>
      </c>
      <c r="I694">
        <v>27.1</v>
      </c>
      <c r="J694">
        <v>569.14</v>
      </c>
      <c r="K694" t="s">
        <v>196</v>
      </c>
      <c r="L694" t="s">
        <v>358</v>
      </c>
      <c r="M694" t="s">
        <v>25</v>
      </c>
      <c r="N694">
        <v>542.04</v>
      </c>
      <c r="O694">
        <v>4.7618999999999998</v>
      </c>
      <c r="P694">
        <v>27.1</v>
      </c>
      <c r="Q694">
        <v>7.8</v>
      </c>
      <c r="R694" s="8">
        <f t="shared" si="11"/>
        <v>43528</v>
      </c>
    </row>
    <row r="695" spans="1:18" x14ac:dyDescent="0.35">
      <c r="A695" t="s">
        <v>948</v>
      </c>
      <c r="B695" t="s">
        <v>68</v>
      </c>
      <c r="C695" t="s">
        <v>69</v>
      </c>
      <c r="D695" t="s">
        <v>20</v>
      </c>
      <c r="E695" t="s">
        <v>21</v>
      </c>
      <c r="F695" t="s">
        <v>28</v>
      </c>
      <c r="G695">
        <v>30.69</v>
      </c>
      <c r="H695">
        <v>1</v>
      </c>
      <c r="I695">
        <v>1.53</v>
      </c>
      <c r="J695">
        <v>32.22</v>
      </c>
      <c r="K695" t="s">
        <v>226</v>
      </c>
      <c r="L695" t="s">
        <v>59</v>
      </c>
      <c r="M695" t="s">
        <v>25</v>
      </c>
      <c r="N695">
        <v>30.69</v>
      </c>
      <c r="O695">
        <v>4.7618999999999998</v>
      </c>
      <c r="P695">
        <v>1.53</v>
      </c>
      <c r="Q695">
        <v>6.8</v>
      </c>
      <c r="R695" s="8">
        <f t="shared" si="11"/>
        <v>43526</v>
      </c>
    </row>
    <row r="696" spans="1:18" x14ac:dyDescent="0.35">
      <c r="A696" t="s">
        <v>949</v>
      </c>
      <c r="B696" t="s">
        <v>37</v>
      </c>
      <c r="C696" t="s">
        <v>38</v>
      </c>
      <c r="D696" t="s">
        <v>20</v>
      </c>
      <c r="E696" t="s">
        <v>42</v>
      </c>
      <c r="F696" t="s">
        <v>61</v>
      </c>
      <c r="G696">
        <v>98.99</v>
      </c>
      <c r="H696">
        <v>9</v>
      </c>
      <c r="I696">
        <v>44.55</v>
      </c>
      <c r="J696">
        <v>935.46</v>
      </c>
      <c r="K696" t="s">
        <v>196</v>
      </c>
      <c r="L696" t="s">
        <v>732</v>
      </c>
      <c r="M696" t="s">
        <v>45</v>
      </c>
      <c r="N696">
        <v>890.91</v>
      </c>
      <c r="O696">
        <v>4.7618999999999998</v>
      </c>
      <c r="P696">
        <v>44.55</v>
      </c>
      <c r="Q696">
        <v>9.1</v>
      </c>
      <c r="R696" s="8">
        <f t="shared" si="11"/>
        <v>43528</v>
      </c>
    </row>
    <row r="697" spans="1:18" x14ac:dyDescent="0.35">
      <c r="A697" t="s">
        <v>950</v>
      </c>
      <c r="B697" t="s">
        <v>68</v>
      </c>
      <c r="C697" t="s">
        <v>69</v>
      </c>
      <c r="D697" t="s">
        <v>20</v>
      </c>
      <c r="E697" t="s">
        <v>42</v>
      </c>
      <c r="F697" t="s">
        <v>28</v>
      </c>
      <c r="G697">
        <v>28.34</v>
      </c>
      <c r="H697">
        <v>5</v>
      </c>
      <c r="I697">
        <v>7.08</v>
      </c>
      <c r="J697">
        <v>148.78</v>
      </c>
      <c r="K697" t="s">
        <v>93</v>
      </c>
      <c r="L697" t="s">
        <v>427</v>
      </c>
      <c r="M697" t="s">
        <v>25</v>
      </c>
      <c r="N697">
        <v>141.69999999999999</v>
      </c>
      <c r="O697">
        <v>4.7618999999999998</v>
      </c>
      <c r="P697">
        <v>7.08</v>
      </c>
      <c r="Q697">
        <v>8.9</v>
      </c>
      <c r="R697" s="8">
        <f t="shared" si="11"/>
        <v>43489</v>
      </c>
    </row>
    <row r="698" spans="1:18" x14ac:dyDescent="0.35">
      <c r="A698" t="s">
        <v>951</v>
      </c>
      <c r="B698" t="s">
        <v>18</v>
      </c>
      <c r="C698" t="s">
        <v>19</v>
      </c>
      <c r="D698" t="s">
        <v>20</v>
      </c>
      <c r="E698" t="s">
        <v>21</v>
      </c>
      <c r="F698" t="s">
        <v>50</v>
      </c>
      <c r="G698">
        <v>79.02</v>
      </c>
      <c r="H698">
        <v>3</v>
      </c>
      <c r="I698">
        <v>11.85</v>
      </c>
      <c r="J698">
        <v>248.91</v>
      </c>
      <c r="K698" t="s">
        <v>395</v>
      </c>
      <c r="L698" t="s">
        <v>224</v>
      </c>
      <c r="M698" t="s">
        <v>35</v>
      </c>
      <c r="N698">
        <v>237.06</v>
      </c>
      <c r="O698">
        <v>4.7618999999999998</v>
      </c>
      <c r="P698">
        <v>11.85</v>
      </c>
      <c r="Q698">
        <v>8.1</v>
      </c>
      <c r="R698" s="8">
        <f>DATEVALUE(K698)</f>
        <v>43519</v>
      </c>
    </row>
    <row r="699" spans="1:18" x14ac:dyDescent="0.35">
      <c r="A699" t="s">
        <v>952</v>
      </c>
      <c r="B699" t="s">
        <v>68</v>
      </c>
      <c r="C699" t="s">
        <v>69</v>
      </c>
      <c r="D699" t="s">
        <v>27</v>
      </c>
      <c r="E699" t="s">
        <v>21</v>
      </c>
      <c r="F699" t="s">
        <v>32</v>
      </c>
      <c r="G699">
        <v>43.62</v>
      </c>
      <c r="H699">
        <v>2</v>
      </c>
      <c r="I699">
        <v>4.3600000000000003</v>
      </c>
      <c r="J699">
        <v>91.6</v>
      </c>
      <c r="K699" t="s">
        <v>266</v>
      </c>
      <c r="L699" t="s">
        <v>154</v>
      </c>
      <c r="M699" t="s">
        <v>45</v>
      </c>
      <c r="N699">
        <v>87.24</v>
      </c>
      <c r="O699">
        <v>4.7618999999999998</v>
      </c>
      <c r="P699">
        <v>4.3600000000000003</v>
      </c>
      <c r="Q699">
        <v>6.8</v>
      </c>
      <c r="R699" s="8">
        <f t="shared" si="11"/>
        <v>43507</v>
      </c>
    </row>
    <row r="700" spans="1:18" x14ac:dyDescent="0.35">
      <c r="A700" t="s">
        <v>953</v>
      </c>
      <c r="B700" t="s">
        <v>18</v>
      </c>
      <c r="C700" t="s">
        <v>19</v>
      </c>
      <c r="D700" t="s">
        <v>27</v>
      </c>
      <c r="E700" t="s">
        <v>42</v>
      </c>
      <c r="F700" t="s">
        <v>22</v>
      </c>
      <c r="G700">
        <v>95.97</v>
      </c>
      <c r="H700">
        <v>10</v>
      </c>
      <c r="I700">
        <v>47.99</v>
      </c>
      <c r="J700">
        <v>1007.69</v>
      </c>
      <c r="K700" t="s">
        <v>78</v>
      </c>
      <c r="L700" t="s">
        <v>284</v>
      </c>
      <c r="M700" t="s">
        <v>45</v>
      </c>
      <c r="N700">
        <v>959.7</v>
      </c>
      <c r="O700">
        <v>4.7618999999999998</v>
      </c>
      <c r="P700">
        <v>47.99</v>
      </c>
      <c r="Q700">
        <v>7.9</v>
      </c>
      <c r="R700" s="8">
        <f t="shared" si="11"/>
        <v>43550</v>
      </c>
    </row>
    <row r="701" spans="1:18" x14ac:dyDescent="0.35">
      <c r="A701" t="s">
        <v>954</v>
      </c>
      <c r="B701" t="s">
        <v>37</v>
      </c>
      <c r="C701" t="s">
        <v>38</v>
      </c>
      <c r="D701" t="s">
        <v>20</v>
      </c>
      <c r="E701" t="s">
        <v>21</v>
      </c>
      <c r="F701" t="s">
        <v>28</v>
      </c>
      <c r="G701">
        <v>82.14</v>
      </c>
      <c r="H701">
        <v>5</v>
      </c>
      <c r="I701">
        <v>20.54</v>
      </c>
      <c r="J701">
        <v>431.24</v>
      </c>
      <c r="K701" t="s">
        <v>266</v>
      </c>
      <c r="L701" t="s">
        <v>507</v>
      </c>
      <c r="M701" t="s">
        <v>45</v>
      </c>
      <c r="N701">
        <v>410.7</v>
      </c>
      <c r="O701">
        <v>4.7618999999999998</v>
      </c>
      <c r="P701">
        <v>20.54</v>
      </c>
      <c r="Q701">
        <v>7.3</v>
      </c>
      <c r="R701" s="8">
        <f t="shared" si="11"/>
        <v>43507</v>
      </c>
    </row>
    <row r="702" spans="1:18" x14ac:dyDescent="0.35">
      <c r="A702" t="s">
        <v>955</v>
      </c>
      <c r="B702" t="s">
        <v>37</v>
      </c>
      <c r="C702" t="s">
        <v>38</v>
      </c>
      <c r="D702" t="s">
        <v>20</v>
      </c>
      <c r="E702" t="s">
        <v>42</v>
      </c>
      <c r="F702" t="s">
        <v>61</v>
      </c>
      <c r="G702">
        <v>26.02</v>
      </c>
      <c r="H702">
        <v>7</v>
      </c>
      <c r="I702">
        <v>9.11</v>
      </c>
      <c r="J702">
        <v>191.25</v>
      </c>
      <c r="K702" t="s">
        <v>96</v>
      </c>
      <c r="L702" t="s">
        <v>430</v>
      </c>
      <c r="M702" t="s">
        <v>45</v>
      </c>
      <c r="N702">
        <v>182.14</v>
      </c>
      <c r="O702">
        <v>4.7618999999999998</v>
      </c>
      <c r="P702">
        <v>9.11</v>
      </c>
      <c r="Q702">
        <v>6.3</v>
      </c>
      <c r="R702" s="8">
        <f t="shared" si="11"/>
        <v>43477</v>
      </c>
    </row>
    <row r="703" spans="1:18" x14ac:dyDescent="0.35">
      <c r="A703" t="s">
        <v>956</v>
      </c>
      <c r="B703" t="s">
        <v>37</v>
      </c>
      <c r="C703" t="s">
        <v>38</v>
      </c>
      <c r="D703" t="s">
        <v>20</v>
      </c>
      <c r="E703" t="s">
        <v>21</v>
      </c>
      <c r="F703" t="s">
        <v>61</v>
      </c>
      <c r="G703">
        <v>54.18</v>
      </c>
      <c r="H703">
        <v>7</v>
      </c>
      <c r="I703">
        <v>18.96</v>
      </c>
      <c r="J703">
        <v>398.22</v>
      </c>
      <c r="K703" t="s">
        <v>75</v>
      </c>
      <c r="L703" t="s">
        <v>375</v>
      </c>
      <c r="M703" t="s">
        <v>45</v>
      </c>
      <c r="N703">
        <v>379.26</v>
      </c>
      <c r="O703">
        <v>4.7618999999999998</v>
      </c>
      <c r="P703">
        <v>18.96</v>
      </c>
      <c r="Q703">
        <v>6.2</v>
      </c>
      <c r="R703" s="8">
        <f t="shared" si="11"/>
        <v>43505</v>
      </c>
    </row>
    <row r="704" spans="1:18" x14ac:dyDescent="0.35">
      <c r="A704" t="s">
        <v>957</v>
      </c>
      <c r="B704" t="s">
        <v>37</v>
      </c>
      <c r="C704" t="s">
        <v>38</v>
      </c>
      <c r="D704" t="s">
        <v>20</v>
      </c>
      <c r="E704" t="s">
        <v>42</v>
      </c>
      <c r="F704" t="s">
        <v>32</v>
      </c>
      <c r="G704">
        <v>89.69</v>
      </c>
      <c r="H704">
        <v>8</v>
      </c>
      <c r="I704">
        <v>35.880000000000003</v>
      </c>
      <c r="J704">
        <v>753.4</v>
      </c>
      <c r="K704" t="s">
        <v>218</v>
      </c>
      <c r="L704" t="s">
        <v>184</v>
      </c>
      <c r="M704" t="s">
        <v>35</v>
      </c>
      <c r="N704">
        <v>717.52</v>
      </c>
      <c r="O704">
        <v>4.7618999999999998</v>
      </c>
      <c r="P704">
        <v>35.880000000000003</v>
      </c>
      <c r="Q704">
        <v>4.5</v>
      </c>
      <c r="R704" s="8">
        <f t="shared" si="11"/>
        <v>43500</v>
      </c>
    </row>
    <row r="705" spans="1:18" x14ac:dyDescent="0.35">
      <c r="A705" t="s">
        <v>958</v>
      </c>
      <c r="B705" t="s">
        <v>37</v>
      </c>
      <c r="C705" t="s">
        <v>38</v>
      </c>
      <c r="D705" t="s">
        <v>20</v>
      </c>
      <c r="E705" t="s">
        <v>42</v>
      </c>
      <c r="F705" t="s">
        <v>22</v>
      </c>
      <c r="G705">
        <v>48.34</v>
      </c>
      <c r="H705">
        <v>1</v>
      </c>
      <c r="I705">
        <v>2.42</v>
      </c>
      <c r="J705">
        <v>50.76</v>
      </c>
      <c r="K705" t="s">
        <v>62</v>
      </c>
      <c r="L705" t="s">
        <v>160</v>
      </c>
      <c r="M705" t="s">
        <v>25</v>
      </c>
      <c r="N705">
        <v>48.34</v>
      </c>
      <c r="O705">
        <v>4.7618999999999998</v>
      </c>
      <c r="P705">
        <v>2.42</v>
      </c>
      <c r="Q705">
        <v>5.3</v>
      </c>
      <c r="R705" s="8">
        <f t="shared" si="11"/>
        <v>43531</v>
      </c>
    </row>
    <row r="706" spans="1:18" x14ac:dyDescent="0.35">
      <c r="A706" t="s">
        <v>959</v>
      </c>
      <c r="B706" t="s">
        <v>18</v>
      </c>
      <c r="C706" t="s">
        <v>19</v>
      </c>
      <c r="D706" t="s">
        <v>20</v>
      </c>
      <c r="E706" t="s">
        <v>42</v>
      </c>
      <c r="F706" t="s">
        <v>50</v>
      </c>
      <c r="G706">
        <v>66.66</v>
      </c>
      <c r="H706">
        <v>9</v>
      </c>
      <c r="I706">
        <v>30</v>
      </c>
      <c r="J706">
        <v>629.94000000000005</v>
      </c>
      <c r="K706" t="s">
        <v>107</v>
      </c>
      <c r="L706" t="s">
        <v>94</v>
      </c>
      <c r="M706" t="s">
        <v>35</v>
      </c>
      <c r="N706">
        <v>599.94000000000005</v>
      </c>
      <c r="O706">
        <v>4.7618999999999998</v>
      </c>
      <c r="P706">
        <v>30</v>
      </c>
      <c r="Q706">
        <v>4.5</v>
      </c>
      <c r="R706" s="8">
        <f t="shared" si="11"/>
        <v>43476</v>
      </c>
    </row>
    <row r="707" spans="1:18" x14ac:dyDescent="0.35">
      <c r="A707" t="s">
        <v>960</v>
      </c>
      <c r="B707" t="s">
        <v>37</v>
      </c>
      <c r="C707" t="s">
        <v>38</v>
      </c>
      <c r="D707" t="s">
        <v>27</v>
      </c>
      <c r="E707" t="s">
        <v>21</v>
      </c>
      <c r="F707" t="s">
        <v>54</v>
      </c>
      <c r="G707">
        <v>71.59</v>
      </c>
      <c r="H707">
        <v>5</v>
      </c>
      <c r="I707">
        <v>17.899999999999999</v>
      </c>
      <c r="J707">
        <v>375.85</v>
      </c>
      <c r="K707" t="s">
        <v>182</v>
      </c>
      <c r="L707" t="s">
        <v>128</v>
      </c>
      <c r="M707" t="s">
        <v>35</v>
      </c>
      <c r="N707">
        <v>357.95</v>
      </c>
      <c r="O707">
        <v>4.7618999999999998</v>
      </c>
      <c r="P707">
        <v>17.899999999999999</v>
      </c>
      <c r="Q707">
        <v>7.4</v>
      </c>
      <c r="R707" s="8">
        <f t="shared" si="11"/>
        <v>43497</v>
      </c>
    </row>
    <row r="708" spans="1:18" x14ac:dyDescent="0.35">
      <c r="A708" t="s">
        <v>961</v>
      </c>
      <c r="B708" t="s">
        <v>68</v>
      </c>
      <c r="C708" t="s">
        <v>69</v>
      </c>
      <c r="D708" t="s">
        <v>20</v>
      </c>
      <c r="E708" t="s">
        <v>21</v>
      </c>
      <c r="F708" t="s">
        <v>50</v>
      </c>
      <c r="G708">
        <v>48.24</v>
      </c>
      <c r="H708">
        <v>2</v>
      </c>
      <c r="I708">
        <v>4.82</v>
      </c>
      <c r="J708">
        <v>101.3</v>
      </c>
      <c r="K708" t="s">
        <v>51</v>
      </c>
      <c r="L708" t="s">
        <v>131</v>
      </c>
      <c r="M708" t="s">
        <v>25</v>
      </c>
      <c r="N708">
        <v>96.48</v>
      </c>
      <c r="O708">
        <v>4.7618999999999998</v>
      </c>
      <c r="P708">
        <v>4.82</v>
      </c>
      <c r="Q708">
        <v>8.9</v>
      </c>
      <c r="R708" s="8">
        <f t="shared" si="11"/>
        <v>43525</v>
      </c>
    </row>
    <row r="709" spans="1:18" x14ac:dyDescent="0.35">
      <c r="A709" t="s">
        <v>962</v>
      </c>
      <c r="B709" t="s">
        <v>37</v>
      </c>
      <c r="C709" t="s">
        <v>38</v>
      </c>
      <c r="D709" t="s">
        <v>20</v>
      </c>
      <c r="E709" t="s">
        <v>21</v>
      </c>
      <c r="F709" t="s">
        <v>28</v>
      </c>
      <c r="G709">
        <v>76.650000000000006</v>
      </c>
      <c r="H709">
        <v>8</v>
      </c>
      <c r="I709">
        <v>30.66</v>
      </c>
      <c r="J709">
        <v>643.86</v>
      </c>
      <c r="K709" t="s">
        <v>139</v>
      </c>
      <c r="L709" t="s">
        <v>880</v>
      </c>
      <c r="M709" t="s">
        <v>45</v>
      </c>
      <c r="N709">
        <v>613.20000000000005</v>
      </c>
      <c r="O709">
        <v>4.7618999999999998</v>
      </c>
      <c r="P709">
        <v>30.66</v>
      </c>
      <c r="Q709">
        <v>4.5</v>
      </c>
      <c r="R709" s="8">
        <f t="shared" si="11"/>
        <v>43488</v>
      </c>
    </row>
    <row r="710" spans="1:18" x14ac:dyDescent="0.35">
      <c r="A710" t="s">
        <v>963</v>
      </c>
      <c r="B710" t="s">
        <v>18</v>
      </c>
      <c r="C710" t="s">
        <v>19</v>
      </c>
      <c r="D710" t="s">
        <v>27</v>
      </c>
      <c r="E710" t="s">
        <v>42</v>
      </c>
      <c r="F710" t="s">
        <v>50</v>
      </c>
      <c r="G710">
        <v>75.17</v>
      </c>
      <c r="H710">
        <v>8</v>
      </c>
      <c r="I710">
        <v>30.07</v>
      </c>
      <c r="J710">
        <v>631.42999999999995</v>
      </c>
      <c r="K710" t="s">
        <v>145</v>
      </c>
      <c r="L710" t="s">
        <v>165</v>
      </c>
      <c r="M710" t="s">
        <v>45</v>
      </c>
      <c r="N710">
        <v>601.36</v>
      </c>
      <c r="O710">
        <v>4.7618999999999998</v>
      </c>
      <c r="P710">
        <v>30.07</v>
      </c>
      <c r="Q710">
        <v>5.3</v>
      </c>
      <c r="R710" s="8">
        <f t="shared" si="11"/>
        <v>43545</v>
      </c>
    </row>
    <row r="711" spans="1:18" x14ac:dyDescent="0.35">
      <c r="A711" t="s">
        <v>964</v>
      </c>
      <c r="B711" t="s">
        <v>18</v>
      </c>
      <c r="C711" t="s">
        <v>19</v>
      </c>
      <c r="D711" t="s">
        <v>27</v>
      </c>
      <c r="E711" t="s">
        <v>21</v>
      </c>
      <c r="F711" t="s">
        <v>32</v>
      </c>
      <c r="G711">
        <v>58.09</v>
      </c>
      <c r="H711">
        <v>1</v>
      </c>
      <c r="I711">
        <v>2.9</v>
      </c>
      <c r="J711">
        <v>60.99</v>
      </c>
      <c r="K711" t="s">
        <v>560</v>
      </c>
      <c r="L711" t="s">
        <v>305</v>
      </c>
      <c r="M711" t="s">
        <v>45</v>
      </c>
      <c r="N711">
        <v>58.09</v>
      </c>
      <c r="O711">
        <v>4.7618999999999998</v>
      </c>
      <c r="P711">
        <v>2.9</v>
      </c>
      <c r="Q711">
        <v>7.9</v>
      </c>
      <c r="R711" s="8">
        <f t="shared" si="11"/>
        <v>43516</v>
      </c>
    </row>
    <row r="712" spans="1:18" x14ac:dyDescent="0.35">
      <c r="A712" t="s">
        <v>965</v>
      </c>
      <c r="B712" t="s">
        <v>18</v>
      </c>
      <c r="C712" t="s">
        <v>19</v>
      </c>
      <c r="D712" t="s">
        <v>27</v>
      </c>
      <c r="E712" t="s">
        <v>42</v>
      </c>
      <c r="F712" t="s">
        <v>61</v>
      </c>
      <c r="G712">
        <v>65.66</v>
      </c>
      <c r="H712">
        <v>10</v>
      </c>
      <c r="I712">
        <v>32.83</v>
      </c>
      <c r="J712">
        <v>689.43</v>
      </c>
      <c r="K712" t="s">
        <v>233</v>
      </c>
      <c r="L712" t="s">
        <v>131</v>
      </c>
      <c r="M712" t="s">
        <v>25</v>
      </c>
      <c r="N712">
        <v>656.6</v>
      </c>
      <c r="O712">
        <v>4.7618999999999998</v>
      </c>
      <c r="P712">
        <v>32.83</v>
      </c>
      <c r="Q712">
        <v>6.4</v>
      </c>
      <c r="R712" s="8">
        <f>DATEVALUE(K712)</f>
        <v>43512</v>
      </c>
    </row>
    <row r="713" spans="1:18" x14ac:dyDescent="0.35">
      <c r="A713" t="s">
        <v>966</v>
      </c>
      <c r="B713" t="s">
        <v>68</v>
      </c>
      <c r="C713" t="s">
        <v>69</v>
      </c>
      <c r="D713" t="s">
        <v>20</v>
      </c>
      <c r="E713" t="s">
        <v>21</v>
      </c>
      <c r="F713" t="s">
        <v>28</v>
      </c>
      <c r="G713">
        <v>27.17</v>
      </c>
      <c r="H713">
        <v>1</v>
      </c>
      <c r="I713">
        <v>1.36</v>
      </c>
      <c r="J713">
        <v>28.53</v>
      </c>
      <c r="K713" t="s">
        <v>87</v>
      </c>
      <c r="L713" t="s">
        <v>430</v>
      </c>
      <c r="M713" t="s">
        <v>35</v>
      </c>
      <c r="N713">
        <v>27.17</v>
      </c>
      <c r="O713">
        <v>4.7618999999999998</v>
      </c>
      <c r="P713">
        <v>1.36</v>
      </c>
      <c r="Q713">
        <v>7.9</v>
      </c>
      <c r="R713" s="8">
        <f t="shared" si="11"/>
        <v>43490</v>
      </c>
    </row>
    <row r="714" spans="1:18" x14ac:dyDescent="0.35">
      <c r="A714" t="s">
        <v>967</v>
      </c>
      <c r="B714" t="s">
        <v>68</v>
      </c>
      <c r="C714" t="s">
        <v>69</v>
      </c>
      <c r="D714" t="s">
        <v>27</v>
      </c>
      <c r="E714" t="s">
        <v>21</v>
      </c>
      <c r="F714" t="s">
        <v>28</v>
      </c>
      <c r="G714">
        <v>37.08</v>
      </c>
      <c r="H714">
        <v>8</v>
      </c>
      <c r="I714">
        <v>14.83</v>
      </c>
      <c r="J714">
        <v>311.47000000000003</v>
      </c>
      <c r="K714" t="s">
        <v>58</v>
      </c>
      <c r="L714" t="s">
        <v>307</v>
      </c>
      <c r="M714" t="s">
        <v>45</v>
      </c>
      <c r="N714">
        <v>296.64</v>
      </c>
      <c r="O714">
        <v>4.7618999999999998</v>
      </c>
      <c r="P714">
        <v>14.83</v>
      </c>
      <c r="Q714">
        <v>4.7</v>
      </c>
      <c r="R714" s="8">
        <f t="shared" si="11"/>
        <v>43484</v>
      </c>
    </row>
    <row r="715" spans="1:18" x14ac:dyDescent="0.35">
      <c r="A715" t="s">
        <v>968</v>
      </c>
      <c r="B715" t="s">
        <v>18</v>
      </c>
      <c r="C715" t="s">
        <v>19</v>
      </c>
      <c r="D715" t="s">
        <v>27</v>
      </c>
      <c r="E715" t="s">
        <v>42</v>
      </c>
      <c r="F715" t="s">
        <v>32</v>
      </c>
      <c r="G715">
        <v>11.77</v>
      </c>
      <c r="H715">
        <v>8</v>
      </c>
      <c r="I715">
        <v>4.71</v>
      </c>
      <c r="J715">
        <v>98.87</v>
      </c>
      <c r="K715" t="s">
        <v>102</v>
      </c>
      <c r="L715" t="s">
        <v>575</v>
      </c>
      <c r="M715" t="s">
        <v>35</v>
      </c>
      <c r="N715">
        <v>94.16</v>
      </c>
      <c r="O715">
        <v>4.7618999999999998</v>
      </c>
      <c r="P715">
        <v>4.71</v>
      </c>
      <c r="Q715">
        <v>7.4</v>
      </c>
      <c r="R715" s="8">
        <f t="shared" si="11"/>
        <v>43540</v>
      </c>
    </row>
    <row r="716" spans="1:18" x14ac:dyDescent="0.35">
      <c r="A716" t="s">
        <v>969</v>
      </c>
      <c r="B716" t="s">
        <v>37</v>
      </c>
      <c r="C716" t="s">
        <v>38</v>
      </c>
      <c r="D716" t="s">
        <v>20</v>
      </c>
      <c r="E716" t="s">
        <v>42</v>
      </c>
      <c r="F716" t="s">
        <v>28</v>
      </c>
      <c r="G716">
        <v>19.239999999999998</v>
      </c>
      <c r="H716">
        <v>7</v>
      </c>
      <c r="I716">
        <v>6.73</v>
      </c>
      <c r="J716">
        <v>141.41</v>
      </c>
      <c r="K716" t="s">
        <v>395</v>
      </c>
      <c r="L716" t="s">
        <v>152</v>
      </c>
      <c r="M716" t="s">
        <v>25</v>
      </c>
      <c r="N716">
        <v>134.68</v>
      </c>
      <c r="O716">
        <v>4.7618999999999998</v>
      </c>
      <c r="P716">
        <v>6.73</v>
      </c>
      <c r="Q716">
        <v>7.6</v>
      </c>
      <c r="R716" s="8">
        <f t="shared" si="11"/>
        <v>43519</v>
      </c>
    </row>
    <row r="717" spans="1:18" x14ac:dyDescent="0.35">
      <c r="A717" t="s">
        <v>970</v>
      </c>
      <c r="B717" t="s">
        <v>37</v>
      </c>
      <c r="C717" t="s">
        <v>38</v>
      </c>
      <c r="D717" t="s">
        <v>20</v>
      </c>
      <c r="E717" t="s">
        <v>42</v>
      </c>
      <c r="F717" t="s">
        <v>32</v>
      </c>
      <c r="G717">
        <v>53.75</v>
      </c>
      <c r="H717">
        <v>10</v>
      </c>
      <c r="I717">
        <v>26.88</v>
      </c>
      <c r="J717">
        <v>564.38</v>
      </c>
      <c r="K717" t="s">
        <v>191</v>
      </c>
      <c r="L717" t="s">
        <v>491</v>
      </c>
      <c r="M717" t="s">
        <v>45</v>
      </c>
      <c r="N717">
        <v>537.5</v>
      </c>
      <c r="O717">
        <v>4.7618999999999998</v>
      </c>
      <c r="P717">
        <v>26.88</v>
      </c>
      <c r="Q717">
        <v>8.3000000000000007</v>
      </c>
      <c r="R717" s="8">
        <f t="shared" si="11"/>
        <v>43544</v>
      </c>
    </row>
    <row r="718" spans="1:18" x14ac:dyDescent="0.35">
      <c r="A718" t="s">
        <v>971</v>
      </c>
      <c r="B718" t="s">
        <v>68</v>
      </c>
      <c r="C718" t="s">
        <v>69</v>
      </c>
      <c r="D718" t="s">
        <v>27</v>
      </c>
      <c r="E718" t="s">
        <v>42</v>
      </c>
      <c r="F718" t="s">
        <v>50</v>
      </c>
      <c r="G718">
        <v>15.72</v>
      </c>
      <c r="H718">
        <v>7</v>
      </c>
      <c r="I718">
        <v>5.5</v>
      </c>
      <c r="J718">
        <v>115.54</v>
      </c>
      <c r="K718" t="s">
        <v>226</v>
      </c>
      <c r="L718" t="s">
        <v>180</v>
      </c>
      <c r="M718" t="s">
        <v>25</v>
      </c>
      <c r="N718">
        <v>110.04</v>
      </c>
      <c r="O718">
        <v>4.7618999999999998</v>
      </c>
      <c r="P718">
        <v>5.5</v>
      </c>
      <c r="Q718">
        <v>9.6</v>
      </c>
      <c r="R718" s="8">
        <f t="shared" si="11"/>
        <v>43526</v>
      </c>
    </row>
    <row r="719" spans="1:18" x14ac:dyDescent="0.35">
      <c r="A719" t="s">
        <v>972</v>
      </c>
      <c r="B719" t="s">
        <v>37</v>
      </c>
      <c r="C719" t="s">
        <v>38</v>
      </c>
      <c r="D719" t="s">
        <v>27</v>
      </c>
      <c r="E719" t="s">
        <v>21</v>
      </c>
      <c r="F719" t="s">
        <v>54</v>
      </c>
      <c r="G719">
        <v>35.92</v>
      </c>
      <c r="H719">
        <v>4</v>
      </c>
      <c r="I719">
        <v>7.18</v>
      </c>
      <c r="J719">
        <v>150.86000000000001</v>
      </c>
      <c r="K719" t="s">
        <v>226</v>
      </c>
      <c r="L719" t="s">
        <v>160</v>
      </c>
      <c r="M719" t="s">
        <v>45</v>
      </c>
      <c r="N719">
        <v>143.68</v>
      </c>
      <c r="O719">
        <v>4.7618999999999998</v>
      </c>
      <c r="P719">
        <v>7.18</v>
      </c>
      <c r="Q719">
        <v>7</v>
      </c>
      <c r="R719" s="8">
        <f t="shared" si="11"/>
        <v>43526</v>
      </c>
    </row>
    <row r="720" spans="1:18" x14ac:dyDescent="0.35">
      <c r="A720" t="s">
        <v>973</v>
      </c>
      <c r="B720" t="s">
        <v>18</v>
      </c>
      <c r="C720" t="s">
        <v>19</v>
      </c>
      <c r="D720" t="s">
        <v>27</v>
      </c>
      <c r="E720" t="s">
        <v>42</v>
      </c>
      <c r="F720" t="s">
        <v>54</v>
      </c>
      <c r="G720">
        <v>89.49</v>
      </c>
      <c r="H720">
        <v>7</v>
      </c>
      <c r="I720">
        <v>31.32</v>
      </c>
      <c r="J720">
        <v>657.75</v>
      </c>
      <c r="K720" t="s">
        <v>395</v>
      </c>
      <c r="L720" t="s">
        <v>352</v>
      </c>
      <c r="M720" t="s">
        <v>25</v>
      </c>
      <c r="N720">
        <v>626.42999999999995</v>
      </c>
      <c r="O720">
        <v>4.7618999999999998</v>
      </c>
      <c r="P720">
        <v>31.32</v>
      </c>
      <c r="Q720">
        <v>6.2</v>
      </c>
      <c r="R720" s="8">
        <f t="shared" si="11"/>
        <v>43519</v>
      </c>
    </row>
    <row r="721" spans="1:18" x14ac:dyDescent="0.35">
      <c r="A721" t="s">
        <v>974</v>
      </c>
      <c r="B721" t="s">
        <v>68</v>
      </c>
      <c r="C721" t="s">
        <v>69</v>
      </c>
      <c r="D721" t="s">
        <v>20</v>
      </c>
      <c r="E721" t="s">
        <v>42</v>
      </c>
      <c r="F721" t="s">
        <v>22</v>
      </c>
      <c r="G721">
        <v>77.430000000000007</v>
      </c>
      <c r="H721">
        <v>8</v>
      </c>
      <c r="I721">
        <v>30.97</v>
      </c>
      <c r="J721">
        <v>650.41</v>
      </c>
      <c r="K721" t="s">
        <v>124</v>
      </c>
      <c r="L721" t="s">
        <v>148</v>
      </c>
      <c r="M721" t="s">
        <v>45</v>
      </c>
      <c r="N721">
        <v>619.44000000000005</v>
      </c>
      <c r="O721">
        <v>4.7618999999999998</v>
      </c>
      <c r="P721">
        <v>30.97</v>
      </c>
      <c r="Q721">
        <v>7.6</v>
      </c>
      <c r="R721" s="8">
        <f t="shared" si="11"/>
        <v>43482</v>
      </c>
    </row>
    <row r="722" spans="1:18" x14ac:dyDescent="0.35">
      <c r="A722" t="s">
        <v>975</v>
      </c>
      <c r="B722" t="s">
        <v>37</v>
      </c>
      <c r="C722" t="s">
        <v>38</v>
      </c>
      <c r="D722" t="s">
        <v>27</v>
      </c>
      <c r="E722" t="s">
        <v>42</v>
      </c>
      <c r="F722" t="s">
        <v>54</v>
      </c>
      <c r="G722">
        <v>28.85</v>
      </c>
      <c r="H722">
        <v>1</v>
      </c>
      <c r="I722">
        <v>1.44</v>
      </c>
      <c r="J722">
        <v>30.29</v>
      </c>
      <c r="K722" t="s">
        <v>170</v>
      </c>
      <c r="L722" t="s">
        <v>846</v>
      </c>
      <c r="M722" t="s">
        <v>35</v>
      </c>
      <c r="N722">
        <v>28.85</v>
      </c>
      <c r="O722">
        <v>4.7618999999999998</v>
      </c>
      <c r="P722">
        <v>1.44</v>
      </c>
      <c r="Q722">
        <v>8.1</v>
      </c>
      <c r="R722" s="8">
        <f t="shared" si="11"/>
        <v>43468</v>
      </c>
    </row>
    <row r="723" spans="1:18" x14ac:dyDescent="0.35">
      <c r="A723" t="s">
        <v>976</v>
      </c>
      <c r="B723" t="s">
        <v>18</v>
      </c>
      <c r="C723" t="s">
        <v>19</v>
      </c>
      <c r="D723" t="s">
        <v>20</v>
      </c>
      <c r="E723" t="s">
        <v>21</v>
      </c>
      <c r="F723" t="s">
        <v>61</v>
      </c>
      <c r="G723">
        <v>48.76</v>
      </c>
      <c r="H723">
        <v>10</v>
      </c>
      <c r="I723">
        <v>24.38</v>
      </c>
      <c r="J723">
        <v>511.98</v>
      </c>
      <c r="K723" t="s">
        <v>253</v>
      </c>
      <c r="L723" t="s">
        <v>843</v>
      </c>
      <c r="M723" t="s">
        <v>45</v>
      </c>
      <c r="N723">
        <v>487.6</v>
      </c>
      <c r="O723">
        <v>4.7618999999999998</v>
      </c>
      <c r="P723">
        <v>24.38</v>
      </c>
      <c r="Q723">
        <v>6.9</v>
      </c>
      <c r="R723" s="8">
        <f t="shared" si="11"/>
        <v>43495</v>
      </c>
    </row>
    <row r="724" spans="1:18" x14ac:dyDescent="0.35">
      <c r="A724" t="s">
        <v>977</v>
      </c>
      <c r="B724" t="s">
        <v>37</v>
      </c>
      <c r="C724" t="s">
        <v>38</v>
      </c>
      <c r="D724" t="s">
        <v>20</v>
      </c>
      <c r="E724" t="s">
        <v>42</v>
      </c>
      <c r="F724" t="s">
        <v>54</v>
      </c>
      <c r="G724">
        <v>86.81</v>
      </c>
      <c r="H724">
        <v>9</v>
      </c>
      <c r="I724">
        <v>39.06</v>
      </c>
      <c r="J724">
        <v>820.35</v>
      </c>
      <c r="K724" t="s">
        <v>39</v>
      </c>
      <c r="L724" t="s">
        <v>473</v>
      </c>
      <c r="M724" t="s">
        <v>25</v>
      </c>
      <c r="N724">
        <v>781.29</v>
      </c>
      <c r="O724">
        <v>4.7618999999999998</v>
      </c>
      <c r="P724">
        <v>39.06</v>
      </c>
      <c r="Q724">
        <v>4.3</v>
      </c>
      <c r="R724" s="8">
        <f t="shared" si="11"/>
        <v>43543</v>
      </c>
    </row>
    <row r="725" spans="1:18" x14ac:dyDescent="0.35">
      <c r="A725" t="s">
        <v>978</v>
      </c>
      <c r="B725" t="s">
        <v>37</v>
      </c>
      <c r="C725" t="s">
        <v>38</v>
      </c>
      <c r="D725" t="s">
        <v>20</v>
      </c>
      <c r="E725" t="s">
        <v>21</v>
      </c>
      <c r="F725" t="s">
        <v>50</v>
      </c>
      <c r="G725">
        <v>64.87</v>
      </c>
      <c r="H725">
        <v>2</v>
      </c>
      <c r="I725">
        <v>6.49</v>
      </c>
      <c r="J725">
        <v>136.22999999999999</v>
      </c>
      <c r="K725" t="s">
        <v>121</v>
      </c>
      <c r="L725" t="s">
        <v>158</v>
      </c>
      <c r="M725" t="s">
        <v>45</v>
      </c>
      <c r="N725">
        <v>129.74</v>
      </c>
      <c r="O725">
        <v>4.7618999999999998</v>
      </c>
      <c r="P725">
        <v>6.49</v>
      </c>
      <c r="Q725">
        <v>5</v>
      </c>
      <c r="R725" s="8">
        <f t="shared" si="11"/>
        <v>43537</v>
      </c>
    </row>
    <row r="726" spans="1:18" x14ac:dyDescent="0.35">
      <c r="A726" t="s">
        <v>979</v>
      </c>
      <c r="B726" t="s">
        <v>68</v>
      </c>
      <c r="C726" t="s">
        <v>69</v>
      </c>
      <c r="D726" t="s">
        <v>27</v>
      </c>
      <c r="E726" t="s">
        <v>21</v>
      </c>
      <c r="F726" t="s">
        <v>22</v>
      </c>
      <c r="G726">
        <v>36.29</v>
      </c>
      <c r="H726">
        <v>8</v>
      </c>
      <c r="I726">
        <v>14.52</v>
      </c>
      <c r="J726">
        <v>304.83999999999997</v>
      </c>
      <c r="K726" t="s">
        <v>29</v>
      </c>
      <c r="L726" t="s">
        <v>152</v>
      </c>
      <c r="M726" t="s">
        <v>45</v>
      </c>
      <c r="N726">
        <v>290.32</v>
      </c>
      <c r="O726">
        <v>4.7618999999999998</v>
      </c>
      <c r="P726">
        <v>14.52</v>
      </c>
      <c r="Q726">
        <v>4.9000000000000004</v>
      </c>
      <c r="R726" s="8">
        <f t="shared" si="11"/>
        <v>43530</v>
      </c>
    </row>
    <row r="727" spans="1:18" x14ac:dyDescent="0.35">
      <c r="A727" t="s">
        <v>980</v>
      </c>
      <c r="B727" t="s">
        <v>37</v>
      </c>
      <c r="C727" t="s">
        <v>38</v>
      </c>
      <c r="D727" t="s">
        <v>20</v>
      </c>
      <c r="E727" t="s">
        <v>21</v>
      </c>
      <c r="F727" t="s">
        <v>54</v>
      </c>
      <c r="G727">
        <v>49.52</v>
      </c>
      <c r="H727">
        <v>7</v>
      </c>
      <c r="I727">
        <v>17.329999999999998</v>
      </c>
      <c r="J727">
        <v>363.97</v>
      </c>
      <c r="K727" t="s">
        <v>422</v>
      </c>
      <c r="L727" t="s">
        <v>173</v>
      </c>
      <c r="M727" t="s">
        <v>35</v>
      </c>
      <c r="N727">
        <v>346.64</v>
      </c>
      <c r="O727">
        <v>4.7618999999999998</v>
      </c>
      <c r="P727">
        <v>17.329999999999998</v>
      </c>
      <c r="Q727">
        <v>5.7</v>
      </c>
      <c r="R727" s="8">
        <f t="shared" si="11"/>
        <v>43466</v>
      </c>
    </row>
    <row r="728" spans="1:18" x14ac:dyDescent="0.35">
      <c r="A728" t="s">
        <v>981</v>
      </c>
      <c r="B728" t="s">
        <v>68</v>
      </c>
      <c r="C728" t="s">
        <v>69</v>
      </c>
      <c r="D728" t="s">
        <v>27</v>
      </c>
      <c r="E728" t="s">
        <v>42</v>
      </c>
      <c r="F728" t="s">
        <v>22</v>
      </c>
      <c r="G728">
        <v>77.94</v>
      </c>
      <c r="H728">
        <v>6</v>
      </c>
      <c r="I728">
        <v>23.38</v>
      </c>
      <c r="J728">
        <v>491.02</v>
      </c>
      <c r="K728" t="s">
        <v>264</v>
      </c>
      <c r="L728" t="s">
        <v>377</v>
      </c>
      <c r="M728" t="s">
        <v>45</v>
      </c>
      <c r="N728">
        <v>467.64</v>
      </c>
      <c r="O728">
        <v>4.7618999999999998</v>
      </c>
      <c r="P728">
        <v>23.38</v>
      </c>
      <c r="Q728">
        <v>8.5</v>
      </c>
      <c r="R728" s="8">
        <f t="shared" si="11"/>
        <v>43546</v>
      </c>
    </row>
    <row r="729" spans="1:18" x14ac:dyDescent="0.35">
      <c r="A729" t="s">
        <v>982</v>
      </c>
      <c r="B729" t="s">
        <v>37</v>
      </c>
      <c r="C729" t="s">
        <v>38</v>
      </c>
      <c r="D729" t="s">
        <v>20</v>
      </c>
      <c r="E729" t="s">
        <v>21</v>
      </c>
      <c r="F729" t="s">
        <v>32</v>
      </c>
      <c r="G729">
        <v>47.21</v>
      </c>
      <c r="H729">
        <v>7</v>
      </c>
      <c r="I729">
        <v>16.52</v>
      </c>
      <c r="J729">
        <v>346.99</v>
      </c>
      <c r="K729" t="s">
        <v>202</v>
      </c>
      <c r="L729" t="s">
        <v>227</v>
      </c>
      <c r="M729" t="s">
        <v>35</v>
      </c>
      <c r="N729">
        <v>330.47</v>
      </c>
      <c r="O729">
        <v>4.7618999999999998</v>
      </c>
      <c r="P729">
        <v>16.52</v>
      </c>
      <c r="Q729">
        <v>9.6999999999999993</v>
      </c>
      <c r="R729" s="8">
        <f t="shared" si="11"/>
        <v>43524</v>
      </c>
    </row>
    <row r="730" spans="1:18" x14ac:dyDescent="0.35">
      <c r="A730" t="s">
        <v>983</v>
      </c>
      <c r="B730" t="s">
        <v>68</v>
      </c>
      <c r="C730" t="s">
        <v>69</v>
      </c>
      <c r="D730" t="s">
        <v>20</v>
      </c>
      <c r="E730" t="s">
        <v>21</v>
      </c>
      <c r="F730" t="s">
        <v>28</v>
      </c>
      <c r="G730">
        <v>40.450000000000003</v>
      </c>
      <c r="H730">
        <v>7</v>
      </c>
      <c r="I730">
        <v>14.16</v>
      </c>
      <c r="J730">
        <v>297.31</v>
      </c>
      <c r="K730" t="s">
        <v>175</v>
      </c>
      <c r="L730" t="s">
        <v>627</v>
      </c>
      <c r="M730" t="s">
        <v>35</v>
      </c>
      <c r="N730">
        <v>283.14999999999998</v>
      </c>
      <c r="O730">
        <v>4.7618999999999998</v>
      </c>
      <c r="P730">
        <v>14.16</v>
      </c>
      <c r="Q730">
        <v>8.6</v>
      </c>
      <c r="R730" s="8">
        <f t="shared" si="11"/>
        <v>43487</v>
      </c>
    </row>
    <row r="731" spans="1:18" x14ac:dyDescent="0.35">
      <c r="A731" t="s">
        <v>984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>
        <v>98.2</v>
      </c>
      <c r="H731">
        <v>9</v>
      </c>
      <c r="I731">
        <v>44.19</v>
      </c>
      <c r="J731">
        <v>927.99</v>
      </c>
      <c r="K731" t="s">
        <v>269</v>
      </c>
      <c r="L731" t="s">
        <v>168</v>
      </c>
      <c r="M731" t="s">
        <v>25</v>
      </c>
      <c r="N731">
        <v>883.8</v>
      </c>
      <c r="O731">
        <v>4.7618999999999998</v>
      </c>
      <c r="P731">
        <v>44.19</v>
      </c>
      <c r="Q731">
        <v>8.1999999999999993</v>
      </c>
      <c r="R731" s="8">
        <f t="shared" si="11"/>
        <v>43503</v>
      </c>
    </row>
    <row r="732" spans="1:18" x14ac:dyDescent="0.35">
      <c r="A732" t="s">
        <v>985</v>
      </c>
      <c r="B732" t="s">
        <v>37</v>
      </c>
      <c r="C732" t="s">
        <v>38</v>
      </c>
      <c r="D732" t="s">
        <v>27</v>
      </c>
      <c r="E732" t="s">
        <v>42</v>
      </c>
      <c r="F732" t="s">
        <v>28</v>
      </c>
      <c r="G732">
        <v>84.43</v>
      </c>
      <c r="H732">
        <v>9</v>
      </c>
      <c r="I732">
        <v>37.99</v>
      </c>
      <c r="J732">
        <v>797.86</v>
      </c>
      <c r="K732" t="s">
        <v>191</v>
      </c>
      <c r="L732" t="s">
        <v>427</v>
      </c>
      <c r="M732" t="s">
        <v>35</v>
      </c>
      <c r="N732">
        <v>759.87</v>
      </c>
      <c r="O732">
        <v>4.7618999999999998</v>
      </c>
      <c r="P732">
        <v>37.99</v>
      </c>
      <c r="Q732">
        <v>6.7</v>
      </c>
      <c r="R732" s="8">
        <f t="shared" si="11"/>
        <v>43544</v>
      </c>
    </row>
    <row r="733" spans="1:18" x14ac:dyDescent="0.35">
      <c r="A733" t="s">
        <v>986</v>
      </c>
      <c r="B733" t="s">
        <v>18</v>
      </c>
      <c r="C733" t="s">
        <v>19</v>
      </c>
      <c r="D733" t="s">
        <v>27</v>
      </c>
      <c r="E733" t="s">
        <v>42</v>
      </c>
      <c r="F733" t="s">
        <v>22</v>
      </c>
      <c r="G733">
        <v>46.41</v>
      </c>
      <c r="H733">
        <v>4</v>
      </c>
      <c r="I733">
        <v>9.2799999999999994</v>
      </c>
      <c r="J733">
        <v>194.92</v>
      </c>
      <c r="K733" t="s">
        <v>113</v>
      </c>
      <c r="L733" t="s">
        <v>305</v>
      </c>
      <c r="M733" t="s">
        <v>25</v>
      </c>
      <c r="N733">
        <v>185.64</v>
      </c>
      <c r="O733">
        <v>4.7618999999999998</v>
      </c>
      <c r="P733">
        <v>9.2799999999999994</v>
      </c>
      <c r="Q733">
        <v>6</v>
      </c>
      <c r="R733" s="8">
        <f t="shared" si="11"/>
        <v>43504</v>
      </c>
    </row>
    <row r="734" spans="1:18" x14ac:dyDescent="0.35">
      <c r="A734" t="s">
        <v>987</v>
      </c>
      <c r="B734" t="s">
        <v>18</v>
      </c>
      <c r="C734" t="s">
        <v>19</v>
      </c>
      <c r="D734" t="s">
        <v>20</v>
      </c>
      <c r="E734" t="s">
        <v>42</v>
      </c>
      <c r="F734" t="s">
        <v>54</v>
      </c>
      <c r="G734">
        <v>18.350000000000001</v>
      </c>
      <c r="H734">
        <v>9</v>
      </c>
      <c r="I734">
        <v>8.26</v>
      </c>
      <c r="J734">
        <v>173.41</v>
      </c>
      <c r="K734" t="s">
        <v>75</v>
      </c>
      <c r="L734" t="s">
        <v>297</v>
      </c>
      <c r="M734" t="s">
        <v>25</v>
      </c>
      <c r="N734">
        <v>165.15</v>
      </c>
      <c r="O734">
        <v>4.7618999999999998</v>
      </c>
      <c r="P734">
        <v>8.26</v>
      </c>
      <c r="Q734">
        <v>5</v>
      </c>
      <c r="R734" s="8">
        <f t="shared" si="11"/>
        <v>43505</v>
      </c>
    </row>
    <row r="735" spans="1:18" x14ac:dyDescent="0.35">
      <c r="A735" t="s">
        <v>988</v>
      </c>
      <c r="B735" t="s">
        <v>18</v>
      </c>
      <c r="C735" t="s">
        <v>19</v>
      </c>
      <c r="D735" t="s">
        <v>27</v>
      </c>
      <c r="E735" t="s">
        <v>21</v>
      </c>
      <c r="F735" t="s">
        <v>61</v>
      </c>
      <c r="G735">
        <v>75.39</v>
      </c>
      <c r="H735">
        <v>9</v>
      </c>
      <c r="I735">
        <v>33.93</v>
      </c>
      <c r="J735">
        <v>712.44</v>
      </c>
      <c r="K735" t="s">
        <v>209</v>
      </c>
      <c r="L735" t="s">
        <v>284</v>
      </c>
      <c r="M735" t="s">
        <v>35</v>
      </c>
      <c r="N735">
        <v>678.51</v>
      </c>
      <c r="O735">
        <v>4.7618999999999998</v>
      </c>
      <c r="P735">
        <v>33.93</v>
      </c>
      <c r="Q735">
        <v>7.8</v>
      </c>
      <c r="R735" s="8">
        <f t="shared" si="11"/>
        <v>43480</v>
      </c>
    </row>
    <row r="736" spans="1:18" x14ac:dyDescent="0.35">
      <c r="A736" t="s">
        <v>989</v>
      </c>
      <c r="B736" t="s">
        <v>68</v>
      </c>
      <c r="C736" t="s">
        <v>69</v>
      </c>
      <c r="D736" t="s">
        <v>20</v>
      </c>
      <c r="E736" t="s">
        <v>21</v>
      </c>
      <c r="F736" t="s">
        <v>32</v>
      </c>
      <c r="G736">
        <v>36.82</v>
      </c>
      <c r="H736">
        <v>1</v>
      </c>
      <c r="I736">
        <v>1.84</v>
      </c>
      <c r="J736">
        <v>38.659999999999997</v>
      </c>
      <c r="K736" t="s">
        <v>202</v>
      </c>
      <c r="L736" t="s">
        <v>413</v>
      </c>
      <c r="M736" t="s">
        <v>25</v>
      </c>
      <c r="N736">
        <v>36.82</v>
      </c>
      <c r="O736">
        <v>4.7618999999999998</v>
      </c>
      <c r="P736">
        <v>1.84</v>
      </c>
      <c r="Q736">
        <v>9.9</v>
      </c>
      <c r="R736" s="8">
        <f t="shared" si="11"/>
        <v>43524</v>
      </c>
    </row>
    <row r="737" spans="1:18" x14ac:dyDescent="0.35">
      <c r="A737" t="s">
        <v>990</v>
      </c>
      <c r="B737" t="s">
        <v>18</v>
      </c>
      <c r="C737" t="s">
        <v>19</v>
      </c>
      <c r="D737" t="s">
        <v>20</v>
      </c>
      <c r="E737" t="s">
        <v>42</v>
      </c>
      <c r="F737" t="s">
        <v>61</v>
      </c>
      <c r="G737">
        <v>35.61</v>
      </c>
      <c r="H737">
        <v>10</v>
      </c>
      <c r="I737">
        <v>17.809999999999999</v>
      </c>
      <c r="J737">
        <v>373.91</v>
      </c>
      <c r="K737" t="s">
        <v>274</v>
      </c>
      <c r="L737" t="s">
        <v>427</v>
      </c>
      <c r="M737" t="s">
        <v>35</v>
      </c>
      <c r="N737">
        <v>356.1</v>
      </c>
      <c r="O737">
        <v>4.7618999999999998</v>
      </c>
      <c r="P737">
        <v>17.809999999999999</v>
      </c>
      <c r="Q737">
        <v>7.1</v>
      </c>
      <c r="R737" s="8">
        <f t="shared" si="11"/>
        <v>43552</v>
      </c>
    </row>
    <row r="738" spans="1:18" x14ac:dyDescent="0.35">
      <c r="A738" t="s">
        <v>991</v>
      </c>
      <c r="B738" t="s">
        <v>68</v>
      </c>
      <c r="C738" t="s">
        <v>69</v>
      </c>
      <c r="D738" t="s">
        <v>27</v>
      </c>
      <c r="E738" t="s">
        <v>21</v>
      </c>
      <c r="F738" t="s">
        <v>61</v>
      </c>
      <c r="G738">
        <v>50.89</v>
      </c>
      <c r="H738">
        <v>3</v>
      </c>
      <c r="I738">
        <v>7.63</v>
      </c>
      <c r="J738">
        <v>160.30000000000001</v>
      </c>
      <c r="K738" t="s">
        <v>482</v>
      </c>
      <c r="L738" t="s">
        <v>277</v>
      </c>
      <c r="M738" t="s">
        <v>45</v>
      </c>
      <c r="N738">
        <v>152.66999999999999</v>
      </c>
      <c r="O738">
        <v>4.7618999999999998</v>
      </c>
      <c r="P738">
        <v>7.63</v>
      </c>
      <c r="Q738">
        <v>4.4000000000000004</v>
      </c>
      <c r="R738" s="8">
        <f t="shared" si="11"/>
        <v>43520</v>
      </c>
    </row>
    <row r="739" spans="1:18" x14ac:dyDescent="0.35">
      <c r="A739" t="s">
        <v>992</v>
      </c>
      <c r="B739" t="s">
        <v>37</v>
      </c>
      <c r="C739" t="s">
        <v>38</v>
      </c>
      <c r="D739" t="s">
        <v>20</v>
      </c>
      <c r="E739" t="s">
        <v>42</v>
      </c>
      <c r="F739" t="s">
        <v>28</v>
      </c>
      <c r="G739">
        <v>43.24</v>
      </c>
      <c r="H739">
        <v>9</v>
      </c>
      <c r="I739">
        <v>19.46</v>
      </c>
      <c r="J739">
        <v>408.62</v>
      </c>
      <c r="K739" t="s">
        <v>55</v>
      </c>
      <c r="L739" t="s">
        <v>299</v>
      </c>
      <c r="M739" t="s">
        <v>25</v>
      </c>
      <c r="N739">
        <v>389.16</v>
      </c>
      <c r="O739">
        <v>4.7618999999999998</v>
      </c>
      <c r="P739">
        <v>19.46</v>
      </c>
      <c r="Q739">
        <v>8.6999999999999993</v>
      </c>
      <c r="R739" s="8">
        <f t="shared" si="11"/>
        <v>43517</v>
      </c>
    </row>
    <row r="740" spans="1:18" x14ac:dyDescent="0.35">
      <c r="A740" t="s">
        <v>993</v>
      </c>
      <c r="B740" t="s">
        <v>37</v>
      </c>
      <c r="C740" t="s">
        <v>38</v>
      </c>
      <c r="D740" t="s">
        <v>27</v>
      </c>
      <c r="E740" t="s">
        <v>42</v>
      </c>
      <c r="F740" t="s">
        <v>32</v>
      </c>
      <c r="G740">
        <v>72.010000000000005</v>
      </c>
      <c r="H740">
        <v>8</v>
      </c>
      <c r="I740">
        <v>28.8</v>
      </c>
      <c r="J740">
        <v>604.88</v>
      </c>
      <c r="K740" t="s">
        <v>395</v>
      </c>
      <c r="L740" t="s">
        <v>994</v>
      </c>
      <c r="M740" t="s">
        <v>25</v>
      </c>
      <c r="N740">
        <v>576.08000000000004</v>
      </c>
      <c r="O740">
        <v>4.7618999999999998</v>
      </c>
      <c r="P740">
        <v>28.8</v>
      </c>
      <c r="Q740">
        <v>4.8</v>
      </c>
      <c r="R740" s="8">
        <f t="shared" si="11"/>
        <v>43519</v>
      </c>
    </row>
    <row r="741" spans="1:18" x14ac:dyDescent="0.35">
      <c r="A741" t="s">
        <v>995</v>
      </c>
      <c r="B741" t="s">
        <v>37</v>
      </c>
      <c r="C741" t="s">
        <v>38</v>
      </c>
      <c r="D741" t="s">
        <v>20</v>
      </c>
      <c r="E741" t="s">
        <v>21</v>
      </c>
      <c r="F741" t="s">
        <v>22</v>
      </c>
      <c r="G741">
        <v>29.14</v>
      </c>
      <c r="H741">
        <v>8</v>
      </c>
      <c r="I741">
        <v>11.66</v>
      </c>
      <c r="J741">
        <v>244.78</v>
      </c>
      <c r="K741" t="s">
        <v>231</v>
      </c>
      <c r="L741" t="s">
        <v>358</v>
      </c>
      <c r="M741" t="s">
        <v>35</v>
      </c>
      <c r="N741">
        <v>233.12</v>
      </c>
      <c r="O741">
        <v>4.7618999999999998</v>
      </c>
      <c r="P741">
        <v>11.66</v>
      </c>
      <c r="Q741">
        <v>9.5</v>
      </c>
      <c r="R741" s="8">
        <f t="shared" si="11"/>
        <v>43470</v>
      </c>
    </row>
    <row r="742" spans="1:18" x14ac:dyDescent="0.35">
      <c r="A742" t="s">
        <v>996</v>
      </c>
      <c r="B742" t="s">
        <v>18</v>
      </c>
      <c r="C742" t="s">
        <v>19</v>
      </c>
      <c r="D742" t="s">
        <v>27</v>
      </c>
      <c r="E742" t="s">
        <v>21</v>
      </c>
      <c r="F742" t="s">
        <v>28</v>
      </c>
      <c r="G742">
        <v>43.26</v>
      </c>
      <c r="H742">
        <v>5</v>
      </c>
      <c r="I742">
        <v>10.82</v>
      </c>
      <c r="J742">
        <v>227.12</v>
      </c>
      <c r="K742" t="s">
        <v>245</v>
      </c>
      <c r="L742" t="s">
        <v>372</v>
      </c>
      <c r="M742" t="s">
        <v>45</v>
      </c>
      <c r="N742">
        <v>216.3</v>
      </c>
      <c r="O742">
        <v>4.7618999999999998</v>
      </c>
      <c r="P742">
        <v>10.82</v>
      </c>
      <c r="Q742">
        <v>6.2</v>
      </c>
      <c r="R742" s="8">
        <f t="shared" si="11"/>
        <v>43471</v>
      </c>
    </row>
    <row r="743" spans="1:18" x14ac:dyDescent="0.35">
      <c r="A743" t="s">
        <v>997</v>
      </c>
      <c r="B743" t="s">
        <v>37</v>
      </c>
      <c r="C743" t="s">
        <v>38</v>
      </c>
      <c r="D743" t="s">
        <v>27</v>
      </c>
      <c r="E743" t="s">
        <v>42</v>
      </c>
      <c r="F743" t="s">
        <v>28</v>
      </c>
      <c r="G743">
        <v>81.209999999999994</v>
      </c>
      <c r="H743">
        <v>3</v>
      </c>
      <c r="I743">
        <v>12.18</v>
      </c>
      <c r="J743">
        <v>255.81</v>
      </c>
      <c r="K743" t="s">
        <v>82</v>
      </c>
      <c r="L743" t="s">
        <v>627</v>
      </c>
      <c r="M743" t="s">
        <v>35</v>
      </c>
      <c r="N743">
        <v>243.63</v>
      </c>
      <c r="O743">
        <v>4.7618999999999998</v>
      </c>
      <c r="P743">
        <v>12.18</v>
      </c>
      <c r="Q743">
        <v>9.3000000000000007</v>
      </c>
      <c r="R743" s="8">
        <f t="shared" si="11"/>
        <v>43541</v>
      </c>
    </row>
    <row r="744" spans="1:18" x14ac:dyDescent="0.35">
      <c r="A744" t="s">
        <v>998</v>
      </c>
      <c r="B744" t="s">
        <v>68</v>
      </c>
      <c r="C744" t="s">
        <v>69</v>
      </c>
      <c r="D744" t="s">
        <v>27</v>
      </c>
      <c r="E744" t="s">
        <v>21</v>
      </c>
      <c r="F744" t="s">
        <v>28</v>
      </c>
      <c r="G744">
        <v>59.28</v>
      </c>
      <c r="H744">
        <v>2</v>
      </c>
      <c r="I744">
        <v>5.93</v>
      </c>
      <c r="J744">
        <v>124.49</v>
      </c>
      <c r="K744" t="s">
        <v>245</v>
      </c>
      <c r="L744" t="s">
        <v>156</v>
      </c>
      <c r="M744" t="s">
        <v>25</v>
      </c>
      <c r="N744">
        <v>118.56</v>
      </c>
      <c r="O744">
        <v>4.7618999999999998</v>
      </c>
      <c r="P744">
        <v>5.93</v>
      </c>
      <c r="Q744">
        <v>5.9</v>
      </c>
      <c r="R744" s="8">
        <f t="shared" si="11"/>
        <v>43471</v>
      </c>
    </row>
    <row r="745" spans="1:18" x14ac:dyDescent="0.35">
      <c r="A745" t="s">
        <v>999</v>
      </c>
      <c r="B745" t="s">
        <v>37</v>
      </c>
      <c r="C745" t="s">
        <v>38</v>
      </c>
      <c r="D745" t="s">
        <v>27</v>
      </c>
      <c r="E745" t="s">
        <v>42</v>
      </c>
      <c r="F745" t="s">
        <v>22</v>
      </c>
      <c r="G745">
        <v>85.03</v>
      </c>
      <c r="H745">
        <v>3</v>
      </c>
      <c r="I745">
        <v>12.75</v>
      </c>
      <c r="J745">
        <v>267.83999999999997</v>
      </c>
      <c r="K745" t="s">
        <v>23</v>
      </c>
      <c r="L745" t="s">
        <v>227</v>
      </c>
      <c r="M745" t="s">
        <v>35</v>
      </c>
      <c r="N745">
        <v>255.09</v>
      </c>
      <c r="O745">
        <v>4.7618999999999998</v>
      </c>
      <c r="P745">
        <v>12.75</v>
      </c>
      <c r="Q745">
        <v>8.6</v>
      </c>
      <c r="R745" s="8">
        <f t="shared" si="11"/>
        <v>43483</v>
      </c>
    </row>
    <row r="746" spans="1:18" x14ac:dyDescent="0.35">
      <c r="A746" t="s">
        <v>1000</v>
      </c>
      <c r="B746" t="s">
        <v>37</v>
      </c>
      <c r="C746" t="s">
        <v>38</v>
      </c>
      <c r="D746" t="s">
        <v>20</v>
      </c>
      <c r="E746" t="s">
        <v>42</v>
      </c>
      <c r="F746" t="s">
        <v>28</v>
      </c>
      <c r="G746">
        <v>81.98</v>
      </c>
      <c r="H746">
        <v>10</v>
      </c>
      <c r="I746">
        <v>40.99</v>
      </c>
      <c r="J746">
        <v>860.79</v>
      </c>
      <c r="K746" t="s">
        <v>130</v>
      </c>
      <c r="L746" t="s">
        <v>384</v>
      </c>
      <c r="M746" t="s">
        <v>35</v>
      </c>
      <c r="N746">
        <v>819.8</v>
      </c>
      <c r="O746">
        <v>4.7618999999999998</v>
      </c>
      <c r="P746">
        <v>40.99</v>
      </c>
      <c r="Q746">
        <v>6</v>
      </c>
      <c r="R746" s="8">
        <f t="shared" ref="R746:R809" si="12">DATEVALUE(K746)</f>
        <v>43518</v>
      </c>
    </row>
    <row r="747" spans="1:18" x14ac:dyDescent="0.35">
      <c r="A747" t="s">
        <v>1001</v>
      </c>
      <c r="B747" t="s">
        <v>18</v>
      </c>
      <c r="C747" t="s">
        <v>19</v>
      </c>
      <c r="D747" t="s">
        <v>27</v>
      </c>
      <c r="E747" t="s">
        <v>42</v>
      </c>
      <c r="F747" t="s">
        <v>22</v>
      </c>
      <c r="G747">
        <v>17.97</v>
      </c>
      <c r="H747">
        <v>3</v>
      </c>
      <c r="I747">
        <v>2.7</v>
      </c>
      <c r="J747">
        <v>56.61</v>
      </c>
      <c r="K747" t="s">
        <v>223</v>
      </c>
      <c r="L747" t="s">
        <v>114</v>
      </c>
      <c r="M747" t="s">
        <v>25</v>
      </c>
      <c r="N747">
        <v>53.91</v>
      </c>
      <c r="O747">
        <v>4.7618999999999998</v>
      </c>
      <c r="P747">
        <v>2.7</v>
      </c>
      <c r="Q747">
        <v>5.9</v>
      </c>
      <c r="R747" s="8">
        <f t="shared" si="12"/>
        <v>43469</v>
      </c>
    </row>
    <row r="748" spans="1:18" x14ac:dyDescent="0.35">
      <c r="A748" t="s">
        <v>1002</v>
      </c>
      <c r="B748" t="s">
        <v>68</v>
      </c>
      <c r="C748" t="s">
        <v>69</v>
      </c>
      <c r="D748" t="s">
        <v>20</v>
      </c>
      <c r="E748" t="s">
        <v>21</v>
      </c>
      <c r="F748" t="s">
        <v>50</v>
      </c>
      <c r="G748">
        <v>58.77</v>
      </c>
      <c r="H748">
        <v>1</v>
      </c>
      <c r="I748">
        <v>2.94</v>
      </c>
      <c r="J748">
        <v>61.71</v>
      </c>
      <c r="K748" t="s">
        <v>526</v>
      </c>
      <c r="L748" t="s">
        <v>83</v>
      </c>
      <c r="M748" t="s">
        <v>35</v>
      </c>
      <c r="N748">
        <v>58.77</v>
      </c>
      <c r="O748">
        <v>4.7618999999999998</v>
      </c>
      <c r="P748">
        <v>2.94</v>
      </c>
      <c r="Q748">
        <v>7</v>
      </c>
      <c r="R748" s="8">
        <f t="shared" si="12"/>
        <v>43538</v>
      </c>
    </row>
    <row r="749" spans="1:18" x14ac:dyDescent="0.35">
      <c r="A749" t="s">
        <v>1003</v>
      </c>
      <c r="B749" t="s">
        <v>68</v>
      </c>
      <c r="C749" t="s">
        <v>69</v>
      </c>
      <c r="D749" t="s">
        <v>20</v>
      </c>
      <c r="E749" t="s">
        <v>21</v>
      </c>
      <c r="F749" t="s">
        <v>61</v>
      </c>
      <c r="G749">
        <v>80.81</v>
      </c>
      <c r="H749">
        <v>4</v>
      </c>
      <c r="I749">
        <v>16.16</v>
      </c>
      <c r="J749">
        <v>339.4</v>
      </c>
      <c r="K749" t="s">
        <v>102</v>
      </c>
      <c r="L749" t="s">
        <v>63</v>
      </c>
      <c r="M749" t="s">
        <v>25</v>
      </c>
      <c r="N749">
        <v>323.24</v>
      </c>
      <c r="O749">
        <v>4.7618999999999998</v>
      </c>
      <c r="P749">
        <v>16.16</v>
      </c>
      <c r="Q749">
        <v>7.6</v>
      </c>
      <c r="R749" s="8">
        <f t="shared" si="12"/>
        <v>43540</v>
      </c>
    </row>
    <row r="750" spans="1:18" x14ac:dyDescent="0.35">
      <c r="A750" t="s">
        <v>1004</v>
      </c>
      <c r="B750" t="s">
        <v>18</v>
      </c>
      <c r="C750" t="s">
        <v>19</v>
      </c>
      <c r="D750" t="s">
        <v>20</v>
      </c>
      <c r="E750" t="s">
        <v>42</v>
      </c>
      <c r="F750" t="s">
        <v>28</v>
      </c>
      <c r="G750">
        <v>40.6</v>
      </c>
      <c r="H750">
        <v>3</v>
      </c>
      <c r="I750">
        <v>6.09</v>
      </c>
      <c r="J750">
        <v>127.89</v>
      </c>
      <c r="K750" t="s">
        <v>395</v>
      </c>
      <c r="L750" t="s">
        <v>158</v>
      </c>
      <c r="M750" t="s">
        <v>35</v>
      </c>
      <c r="N750">
        <v>121.8</v>
      </c>
      <c r="O750">
        <v>4.7618999999999998</v>
      </c>
      <c r="P750">
        <v>6.09</v>
      </c>
      <c r="Q750">
        <v>6.3</v>
      </c>
      <c r="R750" s="8">
        <f t="shared" si="12"/>
        <v>43519</v>
      </c>
    </row>
    <row r="751" spans="1:18" x14ac:dyDescent="0.35">
      <c r="A751" t="s">
        <v>1005</v>
      </c>
      <c r="B751" t="s">
        <v>68</v>
      </c>
      <c r="C751" t="s">
        <v>69</v>
      </c>
      <c r="D751" t="s">
        <v>20</v>
      </c>
      <c r="E751" t="s">
        <v>21</v>
      </c>
      <c r="F751" t="s">
        <v>61</v>
      </c>
      <c r="G751">
        <v>22.96</v>
      </c>
      <c r="H751">
        <v>5</v>
      </c>
      <c r="I751">
        <v>5.74</v>
      </c>
      <c r="J751">
        <v>120.54</v>
      </c>
      <c r="K751" t="s">
        <v>96</v>
      </c>
      <c r="L751" t="s">
        <v>117</v>
      </c>
      <c r="M751" t="s">
        <v>35</v>
      </c>
      <c r="N751">
        <v>114.8</v>
      </c>
      <c r="O751">
        <v>4.7618999999999998</v>
      </c>
      <c r="P751">
        <v>5.74</v>
      </c>
      <c r="Q751">
        <v>8.1</v>
      </c>
      <c r="R751" s="8">
        <f t="shared" si="12"/>
        <v>43477</v>
      </c>
    </row>
    <row r="752" spans="1:18" x14ac:dyDescent="0.35">
      <c r="A752" t="s">
        <v>1006</v>
      </c>
      <c r="B752" t="s">
        <v>18</v>
      </c>
      <c r="C752" t="s">
        <v>19</v>
      </c>
      <c r="D752" t="s">
        <v>27</v>
      </c>
      <c r="E752" t="s">
        <v>21</v>
      </c>
      <c r="F752" t="s">
        <v>28</v>
      </c>
      <c r="G752">
        <v>74.2</v>
      </c>
      <c r="H752">
        <v>5</v>
      </c>
      <c r="I752">
        <v>18.55</v>
      </c>
      <c r="J752">
        <v>389.55</v>
      </c>
      <c r="K752" t="s">
        <v>142</v>
      </c>
      <c r="L752" t="s">
        <v>382</v>
      </c>
      <c r="M752" t="s">
        <v>45</v>
      </c>
      <c r="N752">
        <v>371</v>
      </c>
      <c r="O752">
        <v>4.7618999999999998</v>
      </c>
      <c r="P752">
        <v>18.55</v>
      </c>
      <c r="Q752">
        <v>6.5</v>
      </c>
      <c r="R752" s="8">
        <f t="shared" si="12"/>
        <v>43515</v>
      </c>
    </row>
    <row r="753" spans="1:18" x14ac:dyDescent="0.35">
      <c r="A753" t="s">
        <v>1007</v>
      </c>
      <c r="B753" t="s">
        <v>37</v>
      </c>
      <c r="C753" t="s">
        <v>38</v>
      </c>
      <c r="D753" t="s">
        <v>27</v>
      </c>
      <c r="E753" t="s">
        <v>21</v>
      </c>
      <c r="F753" t="s">
        <v>28</v>
      </c>
      <c r="G753">
        <v>28.23</v>
      </c>
      <c r="H753">
        <v>10</v>
      </c>
      <c r="I753">
        <v>14.12</v>
      </c>
      <c r="J753">
        <v>296.42</v>
      </c>
      <c r="K753" t="s">
        <v>82</v>
      </c>
      <c r="L753" t="s">
        <v>173</v>
      </c>
      <c r="M753" t="s">
        <v>25</v>
      </c>
      <c r="N753">
        <v>282.3</v>
      </c>
      <c r="O753">
        <v>4.7618999999999998</v>
      </c>
      <c r="P753">
        <v>14.12</v>
      </c>
      <c r="Q753">
        <v>8.5</v>
      </c>
      <c r="R753" s="8">
        <f t="shared" si="12"/>
        <v>43541</v>
      </c>
    </row>
    <row r="754" spans="1:18" x14ac:dyDescent="0.35">
      <c r="A754" t="s">
        <v>1008</v>
      </c>
      <c r="B754" t="s">
        <v>68</v>
      </c>
      <c r="C754" t="s">
        <v>69</v>
      </c>
      <c r="D754" t="s">
        <v>27</v>
      </c>
      <c r="E754" t="s">
        <v>21</v>
      </c>
      <c r="F754" t="s">
        <v>61</v>
      </c>
      <c r="G754">
        <v>51.83</v>
      </c>
      <c r="H754">
        <v>7</v>
      </c>
      <c r="I754">
        <v>18.14</v>
      </c>
      <c r="J754">
        <v>380.95</v>
      </c>
      <c r="K754" t="s">
        <v>167</v>
      </c>
      <c r="L754" t="s">
        <v>334</v>
      </c>
      <c r="M754" t="s">
        <v>35</v>
      </c>
      <c r="N754">
        <v>362.81</v>
      </c>
      <c r="O754">
        <v>4.7618999999999998</v>
      </c>
      <c r="P754">
        <v>18.14</v>
      </c>
      <c r="Q754">
        <v>7.8</v>
      </c>
      <c r="R754" s="8">
        <f t="shared" si="12"/>
        <v>43474</v>
      </c>
    </row>
    <row r="755" spans="1:18" x14ac:dyDescent="0.35">
      <c r="A755" t="s">
        <v>1009</v>
      </c>
      <c r="B755" t="s">
        <v>37</v>
      </c>
      <c r="C755" t="s">
        <v>38</v>
      </c>
      <c r="D755" t="s">
        <v>20</v>
      </c>
      <c r="E755" t="s">
        <v>21</v>
      </c>
      <c r="F755" t="s">
        <v>50</v>
      </c>
      <c r="G755">
        <v>68.64</v>
      </c>
      <c r="H755">
        <v>3</v>
      </c>
      <c r="I755">
        <v>10.3</v>
      </c>
      <c r="J755">
        <v>216.22</v>
      </c>
      <c r="K755" t="s">
        <v>113</v>
      </c>
      <c r="L755" t="s">
        <v>171</v>
      </c>
      <c r="M755" t="s">
        <v>35</v>
      </c>
      <c r="N755">
        <v>205.92</v>
      </c>
      <c r="O755">
        <v>4.7618999999999998</v>
      </c>
      <c r="P755">
        <v>10.3</v>
      </c>
      <c r="Q755">
        <v>4.5</v>
      </c>
      <c r="R755" s="8">
        <f t="shared" si="12"/>
        <v>43504</v>
      </c>
    </row>
    <row r="756" spans="1:18" x14ac:dyDescent="0.35">
      <c r="A756" t="s">
        <v>1010</v>
      </c>
      <c r="B756" t="s">
        <v>18</v>
      </c>
      <c r="C756" t="s">
        <v>19</v>
      </c>
      <c r="D756" t="s">
        <v>20</v>
      </c>
      <c r="E756" t="s">
        <v>21</v>
      </c>
      <c r="F756" t="s">
        <v>61</v>
      </c>
      <c r="G756">
        <v>58.64</v>
      </c>
      <c r="H756">
        <v>3</v>
      </c>
      <c r="I756">
        <v>8.8000000000000007</v>
      </c>
      <c r="J756">
        <v>184.72</v>
      </c>
      <c r="K756" t="s">
        <v>182</v>
      </c>
      <c r="L756" t="s">
        <v>128</v>
      </c>
      <c r="M756" t="s">
        <v>25</v>
      </c>
      <c r="N756">
        <v>175.92</v>
      </c>
      <c r="O756">
        <v>4.7618999999999998</v>
      </c>
      <c r="P756">
        <v>8.8000000000000007</v>
      </c>
      <c r="Q756">
        <v>6.7</v>
      </c>
      <c r="R756" s="8">
        <f t="shared" si="12"/>
        <v>43497</v>
      </c>
    </row>
    <row r="757" spans="1:18" x14ac:dyDescent="0.35">
      <c r="A757" t="s">
        <v>1011</v>
      </c>
      <c r="B757" t="s">
        <v>37</v>
      </c>
      <c r="C757" t="s">
        <v>38</v>
      </c>
      <c r="D757" t="s">
        <v>27</v>
      </c>
      <c r="E757" t="s">
        <v>21</v>
      </c>
      <c r="F757" t="s">
        <v>28</v>
      </c>
      <c r="G757">
        <v>15.42</v>
      </c>
      <c r="H757">
        <v>8</v>
      </c>
      <c r="I757">
        <v>6.17</v>
      </c>
      <c r="J757">
        <v>129.53</v>
      </c>
      <c r="K757" t="s">
        <v>218</v>
      </c>
      <c r="L757" t="s">
        <v>140</v>
      </c>
      <c r="M757" t="s">
        <v>25</v>
      </c>
      <c r="N757">
        <v>123.36</v>
      </c>
      <c r="O757">
        <v>4.7618999999999998</v>
      </c>
      <c r="P757">
        <v>6.17</v>
      </c>
      <c r="Q757">
        <v>6.3</v>
      </c>
      <c r="R757" s="8">
        <f t="shared" si="12"/>
        <v>43500</v>
      </c>
    </row>
    <row r="758" spans="1:18" x14ac:dyDescent="0.35">
      <c r="A758" t="s">
        <v>1012</v>
      </c>
      <c r="B758" t="s">
        <v>18</v>
      </c>
      <c r="C758" t="s">
        <v>19</v>
      </c>
      <c r="D758" t="s">
        <v>20</v>
      </c>
      <c r="E758" t="s">
        <v>42</v>
      </c>
      <c r="F758" t="s">
        <v>28</v>
      </c>
      <c r="G758">
        <v>24.53</v>
      </c>
      <c r="H758">
        <v>9</v>
      </c>
      <c r="I758">
        <v>11.04</v>
      </c>
      <c r="J758">
        <v>231.81</v>
      </c>
      <c r="K758" t="s">
        <v>526</v>
      </c>
      <c r="L758" t="s">
        <v>137</v>
      </c>
      <c r="M758" t="s">
        <v>45</v>
      </c>
      <c r="N758">
        <v>220.77</v>
      </c>
      <c r="O758">
        <v>4.7618999999999998</v>
      </c>
      <c r="P758">
        <v>11.04</v>
      </c>
      <c r="Q758">
        <v>6.4</v>
      </c>
      <c r="R758" s="8">
        <f t="shared" si="12"/>
        <v>43538</v>
      </c>
    </row>
    <row r="759" spans="1:18" x14ac:dyDescent="0.35">
      <c r="A759" t="s">
        <v>1013</v>
      </c>
      <c r="B759" t="s">
        <v>68</v>
      </c>
      <c r="C759" t="s">
        <v>69</v>
      </c>
      <c r="D759" t="s">
        <v>27</v>
      </c>
      <c r="E759" t="s">
        <v>42</v>
      </c>
      <c r="F759" t="s">
        <v>54</v>
      </c>
      <c r="G759">
        <v>64.94</v>
      </c>
      <c r="H759">
        <v>6</v>
      </c>
      <c r="I759">
        <v>19.48</v>
      </c>
      <c r="J759">
        <v>409.12</v>
      </c>
      <c r="K759" t="s">
        <v>295</v>
      </c>
      <c r="L759" t="s">
        <v>146</v>
      </c>
      <c r="M759" t="s">
        <v>35</v>
      </c>
      <c r="N759">
        <v>389.64</v>
      </c>
      <c r="O759">
        <v>4.7618999999999998</v>
      </c>
      <c r="P759">
        <v>19.48</v>
      </c>
      <c r="Q759">
        <v>9.9</v>
      </c>
      <c r="R759" s="8">
        <f t="shared" si="12"/>
        <v>43553</v>
      </c>
    </row>
    <row r="760" spans="1:18" x14ac:dyDescent="0.35">
      <c r="A760" t="s">
        <v>1014</v>
      </c>
      <c r="B760" t="s">
        <v>37</v>
      </c>
      <c r="C760" t="s">
        <v>38</v>
      </c>
      <c r="D760" t="s">
        <v>27</v>
      </c>
      <c r="E760" t="s">
        <v>21</v>
      </c>
      <c r="F760" t="s">
        <v>22</v>
      </c>
      <c r="G760">
        <v>98.47</v>
      </c>
      <c r="H760">
        <v>6</v>
      </c>
      <c r="I760">
        <v>29.54</v>
      </c>
      <c r="J760">
        <v>620.36</v>
      </c>
      <c r="K760" t="s">
        <v>479</v>
      </c>
      <c r="L760" t="s">
        <v>344</v>
      </c>
      <c r="M760" t="s">
        <v>35</v>
      </c>
      <c r="N760">
        <v>590.82000000000005</v>
      </c>
      <c r="O760">
        <v>4.7618999999999998</v>
      </c>
      <c r="P760">
        <v>29.54</v>
      </c>
      <c r="Q760">
        <v>4.0999999999999996</v>
      </c>
      <c r="R760" s="8">
        <f t="shared" si="12"/>
        <v>43492</v>
      </c>
    </row>
    <row r="761" spans="1:18" x14ac:dyDescent="0.35">
      <c r="A761" t="s">
        <v>1015</v>
      </c>
      <c r="B761" t="s">
        <v>68</v>
      </c>
      <c r="C761" t="s">
        <v>69</v>
      </c>
      <c r="D761" t="s">
        <v>20</v>
      </c>
      <c r="E761" t="s">
        <v>42</v>
      </c>
      <c r="F761" t="s">
        <v>28</v>
      </c>
      <c r="G761">
        <v>91.13</v>
      </c>
      <c r="H761">
        <v>3</v>
      </c>
      <c r="I761">
        <v>13.67</v>
      </c>
      <c r="J761">
        <v>287.06</v>
      </c>
      <c r="K761" t="s">
        <v>130</v>
      </c>
      <c r="L761" t="s">
        <v>625</v>
      </c>
      <c r="M761" t="s">
        <v>25</v>
      </c>
      <c r="N761">
        <v>273.39</v>
      </c>
      <c r="O761">
        <v>4.7618999999999998</v>
      </c>
      <c r="P761">
        <v>13.67</v>
      </c>
      <c r="Q761">
        <v>6.9</v>
      </c>
      <c r="R761" s="8">
        <f t="shared" si="12"/>
        <v>43518</v>
      </c>
    </row>
    <row r="762" spans="1:18" x14ac:dyDescent="0.35">
      <c r="A762" t="s">
        <v>1016</v>
      </c>
      <c r="B762" t="s">
        <v>18</v>
      </c>
      <c r="C762" t="s">
        <v>19</v>
      </c>
      <c r="D762" t="s">
        <v>20</v>
      </c>
      <c r="E762" t="s">
        <v>21</v>
      </c>
      <c r="F762" t="s">
        <v>50</v>
      </c>
      <c r="G762">
        <v>12.79</v>
      </c>
      <c r="H762">
        <v>8</v>
      </c>
      <c r="I762">
        <v>5.12</v>
      </c>
      <c r="J762">
        <v>107.44</v>
      </c>
      <c r="K762" t="s">
        <v>274</v>
      </c>
      <c r="L762" t="s">
        <v>382</v>
      </c>
      <c r="M762" t="s">
        <v>35</v>
      </c>
      <c r="N762">
        <v>102.32</v>
      </c>
      <c r="O762">
        <v>4.7618999999999998</v>
      </c>
      <c r="P762">
        <v>5.12</v>
      </c>
      <c r="Q762">
        <v>9</v>
      </c>
      <c r="R762" s="8">
        <f t="shared" si="12"/>
        <v>43552</v>
      </c>
    </row>
    <row r="763" spans="1:18" x14ac:dyDescent="0.35">
      <c r="A763" t="s">
        <v>1017</v>
      </c>
      <c r="B763" t="s">
        <v>37</v>
      </c>
      <c r="C763" t="s">
        <v>38</v>
      </c>
      <c r="D763" t="s">
        <v>20</v>
      </c>
      <c r="E763" t="s">
        <v>21</v>
      </c>
      <c r="F763" t="s">
        <v>28</v>
      </c>
      <c r="G763">
        <v>51.64</v>
      </c>
      <c r="H763">
        <v>4</v>
      </c>
      <c r="I763">
        <v>10.33</v>
      </c>
      <c r="J763">
        <v>216.89</v>
      </c>
      <c r="K763" t="s">
        <v>291</v>
      </c>
      <c r="L763" t="s">
        <v>430</v>
      </c>
      <c r="M763" t="s">
        <v>25</v>
      </c>
      <c r="N763">
        <v>206.56</v>
      </c>
      <c r="O763">
        <v>4.7618999999999998</v>
      </c>
      <c r="P763">
        <v>10.33</v>
      </c>
      <c r="Q763">
        <v>4.0999999999999996</v>
      </c>
      <c r="R763" s="8">
        <f t="shared" si="12"/>
        <v>43522</v>
      </c>
    </row>
    <row r="764" spans="1:18" x14ac:dyDescent="0.35">
      <c r="A764" t="s">
        <v>1018</v>
      </c>
      <c r="B764" t="s">
        <v>18</v>
      </c>
      <c r="C764" t="s">
        <v>19</v>
      </c>
      <c r="D764" t="s">
        <v>27</v>
      </c>
      <c r="E764" t="s">
        <v>21</v>
      </c>
      <c r="F764" t="s">
        <v>28</v>
      </c>
      <c r="G764">
        <v>83.47</v>
      </c>
      <c r="H764">
        <v>5</v>
      </c>
      <c r="I764">
        <v>20.87</v>
      </c>
      <c r="J764">
        <v>438.22</v>
      </c>
      <c r="K764" t="s">
        <v>616</v>
      </c>
      <c r="L764" t="s">
        <v>173</v>
      </c>
      <c r="M764" t="s">
        <v>35</v>
      </c>
      <c r="N764">
        <v>417.35</v>
      </c>
      <c r="O764">
        <v>4.7618999999999998</v>
      </c>
      <c r="P764">
        <v>20.87</v>
      </c>
      <c r="Q764">
        <v>4.2</v>
      </c>
      <c r="R764" s="8">
        <f t="shared" si="12"/>
        <v>43494</v>
      </c>
    </row>
    <row r="765" spans="1:18" x14ac:dyDescent="0.35">
      <c r="A765" t="s">
        <v>1019</v>
      </c>
      <c r="B765" t="s">
        <v>18</v>
      </c>
      <c r="C765" t="s">
        <v>19</v>
      </c>
      <c r="D765" t="s">
        <v>20</v>
      </c>
      <c r="E765" t="s">
        <v>21</v>
      </c>
      <c r="F765" t="s">
        <v>54</v>
      </c>
      <c r="G765">
        <v>98.58</v>
      </c>
      <c r="H765">
        <v>7</v>
      </c>
      <c r="I765">
        <v>34.5</v>
      </c>
      <c r="J765">
        <v>724.56</v>
      </c>
      <c r="K765" t="s">
        <v>209</v>
      </c>
      <c r="L765" t="s">
        <v>497</v>
      </c>
      <c r="M765" t="s">
        <v>25</v>
      </c>
      <c r="N765">
        <v>690.06</v>
      </c>
      <c r="O765">
        <v>4.7618999999999998</v>
      </c>
      <c r="P765">
        <v>34.5</v>
      </c>
      <c r="Q765">
        <v>7</v>
      </c>
      <c r="R765" s="8">
        <f t="shared" si="12"/>
        <v>43480</v>
      </c>
    </row>
    <row r="766" spans="1:18" x14ac:dyDescent="0.35">
      <c r="A766" t="s">
        <v>1020</v>
      </c>
      <c r="B766" t="s">
        <v>68</v>
      </c>
      <c r="C766" t="s">
        <v>69</v>
      </c>
      <c r="D766" t="s">
        <v>20</v>
      </c>
      <c r="E766" t="s">
        <v>21</v>
      </c>
      <c r="F766" t="s">
        <v>50</v>
      </c>
      <c r="G766">
        <v>21.54</v>
      </c>
      <c r="H766">
        <v>2</v>
      </c>
      <c r="I766">
        <v>2.15</v>
      </c>
      <c r="J766">
        <v>45.23</v>
      </c>
      <c r="K766" t="s">
        <v>124</v>
      </c>
      <c r="L766" t="s">
        <v>497</v>
      </c>
      <c r="M766" t="s">
        <v>45</v>
      </c>
      <c r="N766">
        <v>43.08</v>
      </c>
      <c r="O766">
        <v>4.7618999999999998</v>
      </c>
      <c r="P766">
        <v>2.15</v>
      </c>
      <c r="Q766">
        <v>9.3000000000000007</v>
      </c>
      <c r="R766" s="8">
        <f t="shared" si="12"/>
        <v>43482</v>
      </c>
    </row>
    <row r="767" spans="1:18" x14ac:dyDescent="0.35">
      <c r="A767" t="s">
        <v>1021</v>
      </c>
      <c r="B767" t="s">
        <v>37</v>
      </c>
      <c r="C767" t="s">
        <v>38</v>
      </c>
      <c r="D767" t="s">
        <v>20</v>
      </c>
      <c r="E767" t="s">
        <v>21</v>
      </c>
      <c r="F767" t="s">
        <v>22</v>
      </c>
      <c r="G767">
        <v>71</v>
      </c>
      <c r="H767">
        <v>10</v>
      </c>
      <c r="I767">
        <v>35.5</v>
      </c>
      <c r="J767">
        <v>745.5</v>
      </c>
      <c r="K767" t="s">
        <v>179</v>
      </c>
      <c r="L767" t="s">
        <v>289</v>
      </c>
      <c r="M767" t="s">
        <v>35</v>
      </c>
      <c r="N767">
        <v>710</v>
      </c>
      <c r="O767">
        <v>4.7618999999999998</v>
      </c>
      <c r="P767">
        <v>35.5</v>
      </c>
      <c r="Q767">
        <v>4</v>
      </c>
      <c r="R767" s="8">
        <f t="shared" si="12"/>
        <v>43498</v>
      </c>
    </row>
    <row r="768" spans="1:18" x14ac:dyDescent="0.35">
      <c r="A768" t="s">
        <v>1022</v>
      </c>
      <c r="B768" t="s">
        <v>18</v>
      </c>
      <c r="C768" t="s">
        <v>19</v>
      </c>
      <c r="D768" t="s">
        <v>20</v>
      </c>
      <c r="E768" t="s">
        <v>42</v>
      </c>
      <c r="F768" t="s">
        <v>32</v>
      </c>
      <c r="G768">
        <v>85.99</v>
      </c>
      <c r="H768">
        <v>7</v>
      </c>
      <c r="I768">
        <v>30.1</v>
      </c>
      <c r="J768">
        <v>632.03</v>
      </c>
      <c r="K768" t="s">
        <v>136</v>
      </c>
      <c r="L768" t="s">
        <v>24</v>
      </c>
      <c r="M768" t="s">
        <v>25</v>
      </c>
      <c r="N768">
        <v>601.92999999999995</v>
      </c>
      <c r="O768">
        <v>4.7618999999999998</v>
      </c>
      <c r="P768">
        <v>30.1</v>
      </c>
      <c r="Q768">
        <v>6.8</v>
      </c>
      <c r="R768" s="8">
        <f t="shared" si="12"/>
        <v>43501</v>
      </c>
    </row>
    <row r="769" spans="1:18" x14ac:dyDescent="0.35">
      <c r="A769" t="s">
        <v>1023</v>
      </c>
      <c r="B769" t="s">
        <v>18</v>
      </c>
      <c r="C769" t="s">
        <v>19</v>
      </c>
      <c r="D769" t="s">
        <v>20</v>
      </c>
      <c r="E769" t="s">
        <v>21</v>
      </c>
      <c r="F769" t="s">
        <v>28</v>
      </c>
      <c r="G769">
        <v>35.01</v>
      </c>
      <c r="H769">
        <v>7</v>
      </c>
      <c r="I769">
        <v>12.25</v>
      </c>
      <c r="J769">
        <v>257.32</v>
      </c>
      <c r="K769" t="s">
        <v>336</v>
      </c>
      <c r="L769" t="s">
        <v>134</v>
      </c>
      <c r="M769" t="s">
        <v>45</v>
      </c>
      <c r="N769">
        <v>245.07</v>
      </c>
      <c r="O769">
        <v>4.7618999999999998</v>
      </c>
      <c r="P769">
        <v>12.25</v>
      </c>
      <c r="Q769">
        <v>6.4</v>
      </c>
      <c r="R769" s="8">
        <f t="shared" si="12"/>
        <v>43534</v>
      </c>
    </row>
    <row r="770" spans="1:18" x14ac:dyDescent="0.35">
      <c r="A770" t="s">
        <v>1024</v>
      </c>
      <c r="B770" t="s">
        <v>68</v>
      </c>
      <c r="C770" t="s">
        <v>69</v>
      </c>
      <c r="D770" t="s">
        <v>20</v>
      </c>
      <c r="E770" t="s">
        <v>21</v>
      </c>
      <c r="F770" t="s">
        <v>22</v>
      </c>
      <c r="G770">
        <v>48.14</v>
      </c>
      <c r="H770">
        <v>2</v>
      </c>
      <c r="I770">
        <v>4.8099999999999996</v>
      </c>
      <c r="J770">
        <v>101.09</v>
      </c>
      <c r="K770" t="s">
        <v>182</v>
      </c>
      <c r="L770" t="s">
        <v>97</v>
      </c>
      <c r="M770" t="s">
        <v>35</v>
      </c>
      <c r="N770">
        <v>96.28</v>
      </c>
      <c r="O770">
        <v>4.7618999999999998</v>
      </c>
      <c r="P770">
        <v>4.8099999999999996</v>
      </c>
      <c r="Q770">
        <v>5.9</v>
      </c>
      <c r="R770" s="8">
        <f t="shared" si="12"/>
        <v>43497</v>
      </c>
    </row>
    <row r="771" spans="1:18" x14ac:dyDescent="0.35">
      <c r="A771" t="s">
        <v>1025</v>
      </c>
      <c r="B771" t="s">
        <v>18</v>
      </c>
      <c r="C771" t="s">
        <v>19</v>
      </c>
      <c r="D771" t="s">
        <v>20</v>
      </c>
      <c r="E771" t="s">
        <v>21</v>
      </c>
      <c r="F771" t="s">
        <v>32</v>
      </c>
      <c r="G771">
        <v>48.88</v>
      </c>
      <c r="H771">
        <v>1</v>
      </c>
      <c r="I771">
        <v>2.44</v>
      </c>
      <c r="J771">
        <v>51.32</v>
      </c>
      <c r="K771" t="s">
        <v>82</v>
      </c>
      <c r="L771" t="s">
        <v>282</v>
      </c>
      <c r="M771" t="s">
        <v>35</v>
      </c>
      <c r="N771">
        <v>48.88</v>
      </c>
      <c r="O771">
        <v>4.7618999999999998</v>
      </c>
      <c r="P771">
        <v>2.44</v>
      </c>
      <c r="Q771">
        <v>5.5</v>
      </c>
      <c r="R771" s="8">
        <f t="shared" si="12"/>
        <v>43541</v>
      </c>
    </row>
    <row r="772" spans="1:18" x14ac:dyDescent="0.35">
      <c r="A772" t="s">
        <v>1026</v>
      </c>
      <c r="B772" t="s">
        <v>68</v>
      </c>
      <c r="C772" t="s">
        <v>69</v>
      </c>
      <c r="D772" t="s">
        <v>27</v>
      </c>
      <c r="E772" t="s">
        <v>21</v>
      </c>
      <c r="F772" t="s">
        <v>61</v>
      </c>
      <c r="G772">
        <v>56.77</v>
      </c>
      <c r="H772">
        <v>4</v>
      </c>
      <c r="I772">
        <v>11.35</v>
      </c>
      <c r="J772">
        <v>238.43</v>
      </c>
      <c r="K772" t="s">
        <v>85</v>
      </c>
      <c r="L772" t="s">
        <v>184</v>
      </c>
      <c r="M772" t="s">
        <v>35</v>
      </c>
      <c r="N772">
        <v>227.08</v>
      </c>
      <c r="O772">
        <v>4.7618999999999998</v>
      </c>
      <c r="P772">
        <v>11.35</v>
      </c>
      <c r="Q772">
        <v>8.6</v>
      </c>
      <c r="R772" s="8">
        <f t="shared" si="12"/>
        <v>43475</v>
      </c>
    </row>
    <row r="773" spans="1:18" x14ac:dyDescent="0.35">
      <c r="A773" t="s">
        <v>1027</v>
      </c>
      <c r="B773" t="s">
        <v>37</v>
      </c>
      <c r="C773" t="s">
        <v>38</v>
      </c>
      <c r="D773" t="s">
        <v>20</v>
      </c>
      <c r="E773" t="s">
        <v>21</v>
      </c>
      <c r="F773" t="s">
        <v>28</v>
      </c>
      <c r="G773">
        <v>92.5</v>
      </c>
      <c r="H773">
        <v>7</v>
      </c>
      <c r="I773">
        <v>32.380000000000003</v>
      </c>
      <c r="J773">
        <v>679.88</v>
      </c>
      <c r="K773" t="s">
        <v>251</v>
      </c>
      <c r="L773" t="s">
        <v>463</v>
      </c>
      <c r="M773" t="s">
        <v>45</v>
      </c>
      <c r="N773">
        <v>647.5</v>
      </c>
      <c r="O773">
        <v>4.7618999999999998</v>
      </c>
      <c r="P773">
        <v>32.380000000000003</v>
      </c>
      <c r="Q773">
        <v>9.5</v>
      </c>
      <c r="R773" s="8">
        <f t="shared" si="12"/>
        <v>43506</v>
      </c>
    </row>
    <row r="774" spans="1:18" x14ac:dyDescent="0.35">
      <c r="A774" t="s">
        <v>1028</v>
      </c>
      <c r="B774" t="s">
        <v>68</v>
      </c>
      <c r="C774" t="s">
        <v>69</v>
      </c>
      <c r="D774" t="s">
        <v>27</v>
      </c>
      <c r="E774" t="s">
        <v>42</v>
      </c>
      <c r="F774" t="s">
        <v>28</v>
      </c>
      <c r="G774">
        <v>19.16</v>
      </c>
      <c r="H774">
        <v>1</v>
      </c>
      <c r="I774">
        <v>0.96</v>
      </c>
      <c r="J774">
        <v>20.12</v>
      </c>
      <c r="K774" t="s">
        <v>121</v>
      </c>
      <c r="L774" t="s">
        <v>125</v>
      </c>
      <c r="M774" t="s">
        <v>35</v>
      </c>
      <c r="N774">
        <v>19.16</v>
      </c>
      <c r="O774">
        <v>4.7618999999999998</v>
      </c>
      <c r="P774">
        <v>0.96</v>
      </c>
      <c r="Q774">
        <v>6.4</v>
      </c>
      <c r="R774" s="8">
        <f t="shared" si="12"/>
        <v>43537</v>
      </c>
    </row>
    <row r="775" spans="1:18" x14ac:dyDescent="0.35">
      <c r="A775" t="s">
        <v>1029</v>
      </c>
      <c r="B775" t="s">
        <v>37</v>
      </c>
      <c r="C775" t="s">
        <v>38</v>
      </c>
      <c r="D775" t="s">
        <v>20</v>
      </c>
      <c r="E775" t="s">
        <v>21</v>
      </c>
      <c r="F775" t="s">
        <v>32</v>
      </c>
      <c r="G775">
        <v>44.55</v>
      </c>
      <c r="H775">
        <v>7</v>
      </c>
      <c r="I775">
        <v>15.59</v>
      </c>
      <c r="J775">
        <v>327.44</v>
      </c>
      <c r="K775" t="s">
        <v>145</v>
      </c>
      <c r="L775" t="s">
        <v>1030</v>
      </c>
      <c r="M775" t="s">
        <v>35</v>
      </c>
      <c r="N775">
        <v>311.85000000000002</v>
      </c>
      <c r="O775">
        <v>4.7618999999999998</v>
      </c>
      <c r="P775">
        <v>15.59</v>
      </c>
      <c r="Q775">
        <v>7.9</v>
      </c>
      <c r="R775" s="8">
        <f t="shared" si="12"/>
        <v>43545</v>
      </c>
    </row>
    <row r="776" spans="1:18" x14ac:dyDescent="0.35">
      <c r="A776" t="s">
        <v>1031</v>
      </c>
      <c r="B776" t="s">
        <v>68</v>
      </c>
      <c r="C776" t="s">
        <v>69</v>
      </c>
      <c r="D776" t="s">
        <v>27</v>
      </c>
      <c r="E776" t="s">
        <v>42</v>
      </c>
      <c r="F776" t="s">
        <v>50</v>
      </c>
      <c r="G776">
        <v>27.32</v>
      </c>
      <c r="H776">
        <v>2</v>
      </c>
      <c r="I776">
        <v>2.73</v>
      </c>
      <c r="J776">
        <v>57.37</v>
      </c>
      <c r="K776" t="s">
        <v>415</v>
      </c>
      <c r="L776" t="s">
        <v>435</v>
      </c>
      <c r="M776" t="s">
        <v>45</v>
      </c>
      <c r="N776">
        <v>54.64</v>
      </c>
      <c r="O776">
        <v>4.7618999999999998</v>
      </c>
      <c r="P776">
        <v>2.73</v>
      </c>
      <c r="Q776">
        <v>7.6</v>
      </c>
      <c r="R776" s="8">
        <f t="shared" si="12"/>
        <v>43467</v>
      </c>
    </row>
    <row r="777" spans="1:18" x14ac:dyDescent="0.35">
      <c r="A777" t="s">
        <v>1032</v>
      </c>
      <c r="B777" t="s">
        <v>68</v>
      </c>
      <c r="C777" t="s">
        <v>69</v>
      </c>
      <c r="D777" t="s">
        <v>20</v>
      </c>
      <c r="E777" t="s">
        <v>42</v>
      </c>
      <c r="F777" t="s">
        <v>61</v>
      </c>
      <c r="G777">
        <v>47.89</v>
      </c>
      <c r="H777">
        <v>10</v>
      </c>
      <c r="I777">
        <v>23.95</v>
      </c>
      <c r="J777">
        <v>502.85</v>
      </c>
      <c r="K777" t="s">
        <v>291</v>
      </c>
      <c r="L777" t="s">
        <v>148</v>
      </c>
      <c r="M777" t="s">
        <v>45</v>
      </c>
      <c r="N777">
        <v>478.9</v>
      </c>
      <c r="O777">
        <v>4.7618999999999998</v>
      </c>
      <c r="P777">
        <v>23.95</v>
      </c>
      <c r="Q777">
        <v>8.8000000000000007</v>
      </c>
      <c r="R777" s="8">
        <f t="shared" si="12"/>
        <v>43522</v>
      </c>
    </row>
    <row r="778" spans="1:18" x14ac:dyDescent="0.35">
      <c r="A778" t="s">
        <v>1033</v>
      </c>
      <c r="B778" t="s">
        <v>68</v>
      </c>
      <c r="C778" t="s">
        <v>69</v>
      </c>
      <c r="D778" t="s">
        <v>27</v>
      </c>
      <c r="E778" t="s">
        <v>42</v>
      </c>
      <c r="F778" t="s">
        <v>50</v>
      </c>
      <c r="G778">
        <v>96.38</v>
      </c>
      <c r="H778">
        <v>6</v>
      </c>
      <c r="I778">
        <v>28.91</v>
      </c>
      <c r="J778">
        <v>607.19000000000005</v>
      </c>
      <c r="K778" t="s">
        <v>75</v>
      </c>
      <c r="L778" t="s">
        <v>299</v>
      </c>
      <c r="M778" t="s">
        <v>45</v>
      </c>
      <c r="N778">
        <v>578.28</v>
      </c>
      <c r="O778">
        <v>4.7618999999999998</v>
      </c>
      <c r="P778">
        <v>28.91</v>
      </c>
      <c r="Q778">
        <v>4.9000000000000004</v>
      </c>
      <c r="R778" s="8">
        <f t="shared" si="12"/>
        <v>43505</v>
      </c>
    </row>
    <row r="779" spans="1:18" x14ac:dyDescent="0.35">
      <c r="A779" t="s">
        <v>1034</v>
      </c>
      <c r="B779" t="s">
        <v>18</v>
      </c>
      <c r="C779" t="s">
        <v>19</v>
      </c>
      <c r="D779" t="s">
        <v>27</v>
      </c>
      <c r="E779" t="s">
        <v>42</v>
      </c>
      <c r="F779" t="s">
        <v>61</v>
      </c>
      <c r="G779">
        <v>97.32</v>
      </c>
      <c r="H779">
        <v>9</v>
      </c>
      <c r="I779">
        <v>43.79</v>
      </c>
      <c r="J779">
        <v>919.67</v>
      </c>
      <c r="K779" t="s">
        <v>82</v>
      </c>
      <c r="L779" t="s">
        <v>352</v>
      </c>
      <c r="M779" t="s">
        <v>45</v>
      </c>
      <c r="N779">
        <v>875.88</v>
      </c>
      <c r="O779">
        <v>4.7618999999999998</v>
      </c>
      <c r="P779">
        <v>43.79</v>
      </c>
      <c r="Q779">
        <v>4.3</v>
      </c>
      <c r="R779" s="8">
        <f t="shared" si="12"/>
        <v>43541</v>
      </c>
    </row>
    <row r="780" spans="1:18" x14ac:dyDescent="0.35">
      <c r="A780" t="s">
        <v>1035</v>
      </c>
      <c r="B780" t="s">
        <v>18</v>
      </c>
      <c r="C780" t="s">
        <v>19</v>
      </c>
      <c r="D780" t="s">
        <v>20</v>
      </c>
      <c r="E780" t="s">
        <v>42</v>
      </c>
      <c r="F780" t="s">
        <v>61</v>
      </c>
      <c r="G780">
        <v>27.59</v>
      </c>
      <c r="H780">
        <v>4</v>
      </c>
      <c r="I780">
        <v>5.52</v>
      </c>
      <c r="J780">
        <v>115.88</v>
      </c>
      <c r="K780" t="s">
        <v>47</v>
      </c>
      <c r="L780" t="s">
        <v>212</v>
      </c>
      <c r="M780" t="s">
        <v>35</v>
      </c>
      <c r="N780">
        <v>110.36</v>
      </c>
      <c r="O780">
        <v>4.7618999999999998</v>
      </c>
      <c r="P780">
        <v>5.52</v>
      </c>
      <c r="Q780">
        <v>5.0999999999999996</v>
      </c>
      <c r="R780" s="8">
        <f t="shared" si="12"/>
        <v>43547</v>
      </c>
    </row>
    <row r="781" spans="1:18" x14ac:dyDescent="0.35">
      <c r="A781" t="s">
        <v>1036</v>
      </c>
      <c r="B781" t="s">
        <v>18</v>
      </c>
      <c r="C781" t="s">
        <v>19</v>
      </c>
      <c r="D781" t="s">
        <v>27</v>
      </c>
      <c r="E781" t="s">
        <v>42</v>
      </c>
      <c r="F781" t="s">
        <v>50</v>
      </c>
      <c r="G781">
        <v>60.95</v>
      </c>
      <c r="H781">
        <v>6</v>
      </c>
      <c r="I781">
        <v>18.29</v>
      </c>
      <c r="J781">
        <v>383.99</v>
      </c>
      <c r="K781" t="s">
        <v>191</v>
      </c>
      <c r="L781" t="s">
        <v>368</v>
      </c>
      <c r="M781" t="s">
        <v>35</v>
      </c>
      <c r="N781">
        <v>365.7</v>
      </c>
      <c r="O781">
        <v>4.7618999999999998</v>
      </c>
      <c r="P781">
        <v>18.29</v>
      </c>
      <c r="Q781">
        <v>5</v>
      </c>
      <c r="R781" s="8">
        <f t="shared" si="12"/>
        <v>43544</v>
      </c>
    </row>
    <row r="782" spans="1:18" x14ac:dyDescent="0.35">
      <c r="A782" t="s">
        <v>1037</v>
      </c>
      <c r="B782" t="s">
        <v>68</v>
      </c>
      <c r="C782" t="s">
        <v>69</v>
      </c>
      <c r="D782" t="s">
        <v>27</v>
      </c>
      <c r="E782" t="s">
        <v>21</v>
      </c>
      <c r="F782" t="s">
        <v>28</v>
      </c>
      <c r="G782">
        <v>67.489999999999995</v>
      </c>
      <c r="H782">
        <v>4</v>
      </c>
      <c r="I782">
        <v>13.5</v>
      </c>
      <c r="J782">
        <v>283.45999999999998</v>
      </c>
      <c r="K782" t="s">
        <v>51</v>
      </c>
      <c r="L782" t="s">
        <v>143</v>
      </c>
      <c r="M782" t="s">
        <v>45</v>
      </c>
      <c r="N782">
        <v>269.95999999999998</v>
      </c>
      <c r="O782">
        <v>4.7618999999999998</v>
      </c>
      <c r="P782">
        <v>13.5</v>
      </c>
      <c r="Q782">
        <v>6.9</v>
      </c>
      <c r="R782" s="8">
        <f t="shared" si="12"/>
        <v>43525</v>
      </c>
    </row>
    <row r="783" spans="1:18" x14ac:dyDescent="0.35">
      <c r="A783" t="s">
        <v>1038</v>
      </c>
      <c r="B783" t="s">
        <v>37</v>
      </c>
      <c r="C783" t="s">
        <v>38</v>
      </c>
      <c r="D783" t="s">
        <v>27</v>
      </c>
      <c r="E783" t="s">
        <v>21</v>
      </c>
      <c r="F783" t="s">
        <v>32</v>
      </c>
      <c r="G783">
        <v>26.58</v>
      </c>
      <c r="H783">
        <v>1</v>
      </c>
      <c r="I783">
        <v>1.33</v>
      </c>
      <c r="J783">
        <v>27.91</v>
      </c>
      <c r="K783" t="s">
        <v>233</v>
      </c>
      <c r="L783" t="s">
        <v>122</v>
      </c>
      <c r="M783" t="s">
        <v>35</v>
      </c>
      <c r="N783">
        <v>26.58</v>
      </c>
      <c r="O783">
        <v>4.7618999999999998</v>
      </c>
      <c r="P783">
        <v>1.33</v>
      </c>
      <c r="Q783">
        <v>4.2</v>
      </c>
      <c r="R783" s="8">
        <f t="shared" si="12"/>
        <v>43512</v>
      </c>
    </row>
    <row r="784" spans="1:18" x14ac:dyDescent="0.35">
      <c r="A784" t="s">
        <v>1039</v>
      </c>
      <c r="B784" t="s">
        <v>68</v>
      </c>
      <c r="C784" t="s">
        <v>69</v>
      </c>
      <c r="D784" t="s">
        <v>27</v>
      </c>
      <c r="E784" t="s">
        <v>42</v>
      </c>
      <c r="F784" t="s">
        <v>54</v>
      </c>
      <c r="G784">
        <v>66.819999999999993</v>
      </c>
      <c r="H784">
        <v>6</v>
      </c>
      <c r="I784">
        <v>20.05</v>
      </c>
      <c r="J784">
        <v>420.97</v>
      </c>
      <c r="K784" t="s">
        <v>245</v>
      </c>
      <c r="L784" t="s">
        <v>430</v>
      </c>
      <c r="M784" t="s">
        <v>45</v>
      </c>
      <c r="N784">
        <v>400.92</v>
      </c>
      <c r="O784">
        <v>4.7618999999999998</v>
      </c>
      <c r="P784">
        <v>20.05</v>
      </c>
      <c r="Q784">
        <v>5.7</v>
      </c>
      <c r="R784" s="8">
        <f t="shared" si="12"/>
        <v>43471</v>
      </c>
    </row>
    <row r="785" spans="1:18" x14ac:dyDescent="0.35">
      <c r="A785" t="s">
        <v>1040</v>
      </c>
      <c r="B785" t="s">
        <v>37</v>
      </c>
      <c r="C785" t="s">
        <v>38</v>
      </c>
      <c r="D785" t="s">
        <v>20</v>
      </c>
      <c r="E785" t="s">
        <v>42</v>
      </c>
      <c r="F785" t="s">
        <v>50</v>
      </c>
      <c r="G785">
        <v>32.14</v>
      </c>
      <c r="H785">
        <v>4</v>
      </c>
      <c r="I785">
        <v>6.43</v>
      </c>
      <c r="J785">
        <v>134.99</v>
      </c>
      <c r="K785" t="s">
        <v>170</v>
      </c>
      <c r="L785" t="s">
        <v>117</v>
      </c>
      <c r="M785" t="s">
        <v>45</v>
      </c>
      <c r="N785">
        <v>128.56</v>
      </c>
      <c r="O785">
        <v>4.7618999999999998</v>
      </c>
      <c r="P785">
        <v>6.43</v>
      </c>
      <c r="Q785">
        <v>4.0999999999999996</v>
      </c>
      <c r="R785" s="8">
        <f t="shared" si="12"/>
        <v>43468</v>
      </c>
    </row>
    <row r="786" spans="1:18" x14ac:dyDescent="0.35">
      <c r="A786" t="s">
        <v>1041</v>
      </c>
      <c r="B786" t="s">
        <v>68</v>
      </c>
      <c r="C786" t="s">
        <v>69</v>
      </c>
      <c r="D786" t="s">
        <v>27</v>
      </c>
      <c r="E786" t="s">
        <v>21</v>
      </c>
      <c r="F786" t="s">
        <v>61</v>
      </c>
      <c r="G786">
        <v>94.25</v>
      </c>
      <c r="H786">
        <v>5</v>
      </c>
      <c r="I786">
        <v>23.56</v>
      </c>
      <c r="J786">
        <v>494.81</v>
      </c>
      <c r="K786" t="s">
        <v>202</v>
      </c>
      <c r="L786" t="s">
        <v>197</v>
      </c>
      <c r="M786" t="s">
        <v>35</v>
      </c>
      <c r="N786">
        <v>471.25</v>
      </c>
      <c r="O786">
        <v>4.7618999999999998</v>
      </c>
      <c r="P786">
        <v>23.56</v>
      </c>
      <c r="Q786">
        <v>8</v>
      </c>
      <c r="R786" s="8">
        <f t="shared" si="12"/>
        <v>43524</v>
      </c>
    </row>
    <row r="787" spans="1:18" x14ac:dyDescent="0.35">
      <c r="A787" t="s">
        <v>1042</v>
      </c>
      <c r="B787" t="s">
        <v>18</v>
      </c>
      <c r="C787" t="s">
        <v>19</v>
      </c>
      <c r="D787" t="s">
        <v>27</v>
      </c>
      <c r="E787" t="s">
        <v>21</v>
      </c>
      <c r="F787" t="s">
        <v>28</v>
      </c>
      <c r="G787">
        <v>23</v>
      </c>
      <c r="H787">
        <v>3</v>
      </c>
      <c r="I787">
        <v>3.45</v>
      </c>
      <c r="J787">
        <v>72.45</v>
      </c>
      <c r="K787" t="s">
        <v>87</v>
      </c>
      <c r="L787" t="s">
        <v>432</v>
      </c>
      <c r="M787" t="s">
        <v>35</v>
      </c>
      <c r="N787">
        <v>69</v>
      </c>
      <c r="O787">
        <v>4.7618999999999998</v>
      </c>
      <c r="P787">
        <v>3.45</v>
      </c>
      <c r="Q787">
        <v>8.1999999999999993</v>
      </c>
      <c r="R787" s="8">
        <f t="shared" si="12"/>
        <v>43490</v>
      </c>
    </row>
    <row r="788" spans="1:18" x14ac:dyDescent="0.35">
      <c r="A788" t="s">
        <v>1043</v>
      </c>
      <c r="B788" t="s">
        <v>18</v>
      </c>
      <c r="C788" t="s">
        <v>19</v>
      </c>
      <c r="D788" t="s">
        <v>27</v>
      </c>
      <c r="E788" t="s">
        <v>21</v>
      </c>
      <c r="F788" t="s">
        <v>28</v>
      </c>
      <c r="G788">
        <v>78.680000000000007</v>
      </c>
      <c r="H788">
        <v>10</v>
      </c>
      <c r="I788">
        <v>39.340000000000003</v>
      </c>
      <c r="J788">
        <v>826.14</v>
      </c>
      <c r="K788" t="s">
        <v>87</v>
      </c>
      <c r="L788" t="s">
        <v>241</v>
      </c>
      <c r="M788" t="s">
        <v>45</v>
      </c>
      <c r="N788">
        <v>786.8</v>
      </c>
      <c r="O788">
        <v>4.7618999999999998</v>
      </c>
      <c r="P788">
        <v>39.340000000000003</v>
      </c>
      <c r="Q788">
        <v>6</v>
      </c>
      <c r="R788" s="8">
        <f t="shared" si="12"/>
        <v>43490</v>
      </c>
    </row>
    <row r="789" spans="1:18" x14ac:dyDescent="0.35">
      <c r="A789" t="s">
        <v>1044</v>
      </c>
      <c r="B789" t="s">
        <v>18</v>
      </c>
      <c r="C789" t="s">
        <v>19</v>
      </c>
      <c r="D789" t="s">
        <v>27</v>
      </c>
      <c r="E789" t="s">
        <v>21</v>
      </c>
      <c r="F789" t="s">
        <v>50</v>
      </c>
      <c r="G789">
        <v>97.15</v>
      </c>
      <c r="H789">
        <v>8</v>
      </c>
      <c r="I789">
        <v>38.86</v>
      </c>
      <c r="J789">
        <v>816.06</v>
      </c>
      <c r="K789" t="s">
        <v>479</v>
      </c>
      <c r="L789" t="s">
        <v>180</v>
      </c>
      <c r="M789" t="s">
        <v>25</v>
      </c>
      <c r="N789">
        <v>777.2</v>
      </c>
      <c r="O789">
        <v>4.7618999999999998</v>
      </c>
      <c r="P789">
        <v>38.86</v>
      </c>
      <c r="Q789">
        <v>7.7</v>
      </c>
      <c r="R789" s="8">
        <f t="shared" si="12"/>
        <v>43492</v>
      </c>
    </row>
    <row r="790" spans="1:18" x14ac:dyDescent="0.35">
      <c r="A790" t="s">
        <v>1045</v>
      </c>
      <c r="B790" t="s">
        <v>18</v>
      </c>
      <c r="C790" t="s">
        <v>19</v>
      </c>
      <c r="D790" t="s">
        <v>27</v>
      </c>
      <c r="E790" t="s">
        <v>42</v>
      </c>
      <c r="F790" t="s">
        <v>32</v>
      </c>
      <c r="G790">
        <v>56.7</v>
      </c>
      <c r="H790">
        <v>3</v>
      </c>
      <c r="I790">
        <v>8.51</v>
      </c>
      <c r="J790">
        <v>178.61</v>
      </c>
      <c r="K790" t="s">
        <v>266</v>
      </c>
      <c r="L790" t="s">
        <v>391</v>
      </c>
      <c r="M790" t="s">
        <v>25</v>
      </c>
      <c r="N790">
        <v>170.1</v>
      </c>
      <c r="O790">
        <v>4.7618999999999998</v>
      </c>
      <c r="P790">
        <v>8.51</v>
      </c>
      <c r="Q790">
        <v>6.9</v>
      </c>
      <c r="R790" s="8">
        <f t="shared" si="12"/>
        <v>43507</v>
      </c>
    </row>
    <row r="791" spans="1:18" x14ac:dyDescent="0.35">
      <c r="A791" t="s">
        <v>1046</v>
      </c>
      <c r="B791" t="s">
        <v>37</v>
      </c>
      <c r="C791" t="s">
        <v>38</v>
      </c>
      <c r="D791" t="s">
        <v>27</v>
      </c>
      <c r="E791" t="s">
        <v>42</v>
      </c>
      <c r="F791" t="s">
        <v>22</v>
      </c>
      <c r="G791">
        <v>92.91</v>
      </c>
      <c r="H791">
        <v>10</v>
      </c>
      <c r="I791">
        <v>46.46</v>
      </c>
      <c r="J791">
        <v>975.56</v>
      </c>
      <c r="K791" t="s">
        <v>276</v>
      </c>
      <c r="L791" t="s">
        <v>430</v>
      </c>
      <c r="M791" t="s">
        <v>45</v>
      </c>
      <c r="N791">
        <v>929.1</v>
      </c>
      <c r="O791">
        <v>4.7618999999999998</v>
      </c>
      <c r="P791">
        <v>46.46</v>
      </c>
      <c r="Q791">
        <v>9.4</v>
      </c>
      <c r="R791" s="8">
        <f t="shared" si="12"/>
        <v>43549</v>
      </c>
    </row>
    <row r="792" spans="1:18" x14ac:dyDescent="0.35">
      <c r="A792" t="s">
        <v>1047</v>
      </c>
      <c r="B792" t="s">
        <v>68</v>
      </c>
      <c r="C792" t="s">
        <v>69</v>
      </c>
      <c r="D792" t="s">
        <v>27</v>
      </c>
      <c r="E792" t="s">
        <v>21</v>
      </c>
      <c r="F792" t="s">
        <v>61</v>
      </c>
      <c r="G792">
        <v>48.25</v>
      </c>
      <c r="H792">
        <v>7</v>
      </c>
      <c r="I792">
        <v>16.89</v>
      </c>
      <c r="J792">
        <v>354.64</v>
      </c>
      <c r="K792" t="s">
        <v>43</v>
      </c>
      <c r="L792" t="s">
        <v>591</v>
      </c>
      <c r="M792" t="s">
        <v>35</v>
      </c>
      <c r="N792">
        <v>337.75</v>
      </c>
      <c r="O792">
        <v>4.7618999999999998</v>
      </c>
      <c r="P792">
        <v>16.89</v>
      </c>
      <c r="Q792">
        <v>7.3</v>
      </c>
      <c r="R792" s="8">
        <f t="shared" si="12"/>
        <v>43539</v>
      </c>
    </row>
    <row r="793" spans="1:18" x14ac:dyDescent="0.35">
      <c r="A793" t="s">
        <v>1048</v>
      </c>
      <c r="B793" t="s">
        <v>68</v>
      </c>
      <c r="C793" t="s">
        <v>69</v>
      </c>
      <c r="D793" t="s">
        <v>27</v>
      </c>
      <c r="E793" t="s">
        <v>42</v>
      </c>
      <c r="F793" t="s">
        <v>50</v>
      </c>
      <c r="G793">
        <v>41.64</v>
      </c>
      <c r="H793">
        <v>10</v>
      </c>
      <c r="I793">
        <v>20.82</v>
      </c>
      <c r="J793">
        <v>437.22</v>
      </c>
      <c r="K793" t="s">
        <v>245</v>
      </c>
      <c r="L793" t="s">
        <v>66</v>
      </c>
      <c r="M793" t="s">
        <v>25</v>
      </c>
      <c r="N793">
        <v>416.4</v>
      </c>
      <c r="O793">
        <v>4.7618999999999998</v>
      </c>
      <c r="P793">
        <v>20.82</v>
      </c>
      <c r="Q793">
        <v>6</v>
      </c>
      <c r="R793" s="8">
        <f t="shared" si="12"/>
        <v>43471</v>
      </c>
    </row>
    <row r="794" spans="1:18" x14ac:dyDescent="0.35">
      <c r="A794" t="s">
        <v>1049</v>
      </c>
      <c r="B794" t="s">
        <v>37</v>
      </c>
      <c r="C794" t="s">
        <v>38</v>
      </c>
      <c r="D794" t="s">
        <v>27</v>
      </c>
      <c r="E794" t="s">
        <v>42</v>
      </c>
      <c r="F794" t="s">
        <v>61</v>
      </c>
      <c r="G794">
        <v>82.41</v>
      </c>
      <c r="H794">
        <v>6</v>
      </c>
      <c r="I794">
        <v>24.72</v>
      </c>
      <c r="J794">
        <v>519.17999999999995</v>
      </c>
      <c r="K794" t="s">
        <v>218</v>
      </c>
      <c r="L794" t="s">
        <v>627</v>
      </c>
      <c r="M794" t="s">
        <v>45</v>
      </c>
      <c r="N794">
        <v>494.46</v>
      </c>
      <c r="O794">
        <v>4.7618999999999998</v>
      </c>
      <c r="P794">
        <v>24.72</v>
      </c>
      <c r="Q794">
        <v>6.7</v>
      </c>
      <c r="R794" s="8">
        <f t="shared" si="12"/>
        <v>43500</v>
      </c>
    </row>
    <row r="795" spans="1:18" x14ac:dyDescent="0.35">
      <c r="A795" t="s">
        <v>1050</v>
      </c>
      <c r="B795" t="s">
        <v>18</v>
      </c>
      <c r="C795" t="s">
        <v>19</v>
      </c>
      <c r="D795" t="s">
        <v>20</v>
      </c>
      <c r="E795" t="s">
        <v>42</v>
      </c>
      <c r="F795" t="s">
        <v>28</v>
      </c>
      <c r="G795">
        <v>36.51</v>
      </c>
      <c r="H795">
        <v>9</v>
      </c>
      <c r="I795">
        <v>16.43</v>
      </c>
      <c r="J795">
        <v>345.02</v>
      </c>
      <c r="K795" t="s">
        <v>62</v>
      </c>
      <c r="L795" t="s">
        <v>227</v>
      </c>
      <c r="M795" t="s">
        <v>45</v>
      </c>
      <c r="N795">
        <v>328.59</v>
      </c>
      <c r="O795">
        <v>4.7618999999999998</v>
      </c>
      <c r="P795">
        <v>16.43</v>
      </c>
      <c r="Q795">
        <v>8.6999999999999993</v>
      </c>
      <c r="R795" s="8">
        <f t="shared" si="12"/>
        <v>43531</v>
      </c>
    </row>
    <row r="796" spans="1:18" x14ac:dyDescent="0.35">
      <c r="A796" t="s">
        <v>1051</v>
      </c>
      <c r="B796" t="s">
        <v>68</v>
      </c>
      <c r="C796" t="s">
        <v>69</v>
      </c>
      <c r="D796" t="s">
        <v>20</v>
      </c>
      <c r="E796" t="s">
        <v>21</v>
      </c>
      <c r="F796" t="s">
        <v>61</v>
      </c>
      <c r="G796">
        <v>13.45</v>
      </c>
      <c r="H796">
        <v>4</v>
      </c>
      <c r="I796">
        <v>2.69</v>
      </c>
      <c r="J796">
        <v>56.49</v>
      </c>
      <c r="K796" t="s">
        <v>229</v>
      </c>
      <c r="L796" t="s">
        <v>162</v>
      </c>
      <c r="M796" t="s">
        <v>35</v>
      </c>
      <c r="N796">
        <v>53.8</v>
      </c>
      <c r="O796">
        <v>4.7618999999999998</v>
      </c>
      <c r="P796">
        <v>2.69</v>
      </c>
      <c r="Q796">
        <v>5.5</v>
      </c>
      <c r="R796" s="8">
        <f t="shared" si="12"/>
        <v>43508</v>
      </c>
    </row>
    <row r="797" spans="1:18" x14ac:dyDescent="0.35">
      <c r="A797" t="s">
        <v>1052</v>
      </c>
      <c r="B797" t="s">
        <v>18</v>
      </c>
      <c r="C797" t="s">
        <v>19</v>
      </c>
      <c r="D797" t="s">
        <v>27</v>
      </c>
      <c r="E797" t="s">
        <v>21</v>
      </c>
      <c r="F797" t="s">
        <v>22</v>
      </c>
      <c r="G797">
        <v>64.36</v>
      </c>
      <c r="H797">
        <v>3</v>
      </c>
      <c r="I797">
        <v>9.65</v>
      </c>
      <c r="J797">
        <v>202.73</v>
      </c>
      <c r="K797" t="s">
        <v>281</v>
      </c>
      <c r="L797" t="s">
        <v>40</v>
      </c>
      <c r="M797" t="s">
        <v>35</v>
      </c>
      <c r="N797">
        <v>193.08</v>
      </c>
      <c r="O797">
        <v>4.7618999999999998</v>
      </c>
      <c r="P797">
        <v>9.65</v>
      </c>
      <c r="Q797">
        <v>5.7</v>
      </c>
      <c r="R797" s="8">
        <f t="shared" si="12"/>
        <v>43535</v>
      </c>
    </row>
    <row r="798" spans="1:18" x14ac:dyDescent="0.35">
      <c r="A798" t="s">
        <v>1053</v>
      </c>
      <c r="B798" t="s">
        <v>37</v>
      </c>
      <c r="C798" t="s">
        <v>38</v>
      </c>
      <c r="D798" t="s">
        <v>27</v>
      </c>
      <c r="E798" t="s">
        <v>21</v>
      </c>
      <c r="F798" t="s">
        <v>32</v>
      </c>
      <c r="G798">
        <v>68.87</v>
      </c>
      <c r="H798">
        <v>3</v>
      </c>
      <c r="I798">
        <v>10.33</v>
      </c>
      <c r="J798">
        <v>216.94</v>
      </c>
      <c r="K798" t="s">
        <v>560</v>
      </c>
      <c r="L798" t="s">
        <v>575</v>
      </c>
      <c r="M798" t="s">
        <v>25</v>
      </c>
      <c r="N798">
        <v>206.61</v>
      </c>
      <c r="O798">
        <v>4.7618999999999998</v>
      </c>
      <c r="P798">
        <v>10.33</v>
      </c>
      <c r="Q798">
        <v>8.5</v>
      </c>
      <c r="R798" s="8">
        <f t="shared" si="12"/>
        <v>43516</v>
      </c>
    </row>
    <row r="799" spans="1:18" x14ac:dyDescent="0.35">
      <c r="A799" t="s">
        <v>1054</v>
      </c>
      <c r="B799" t="s">
        <v>68</v>
      </c>
      <c r="C799" t="s">
        <v>69</v>
      </c>
      <c r="D799" t="s">
        <v>27</v>
      </c>
      <c r="E799" t="s">
        <v>42</v>
      </c>
      <c r="F799" t="s">
        <v>61</v>
      </c>
      <c r="G799">
        <v>81.27</v>
      </c>
      <c r="H799">
        <v>6</v>
      </c>
      <c r="I799">
        <v>24.38</v>
      </c>
      <c r="J799">
        <v>512</v>
      </c>
      <c r="K799" t="s">
        <v>87</v>
      </c>
      <c r="L799" t="s">
        <v>91</v>
      </c>
      <c r="M799" t="s">
        <v>35</v>
      </c>
      <c r="N799">
        <v>487.62</v>
      </c>
      <c r="O799">
        <v>4.7618999999999998</v>
      </c>
      <c r="P799">
        <v>24.38</v>
      </c>
      <c r="Q799">
        <v>5.3</v>
      </c>
      <c r="R799" s="8">
        <f t="shared" si="12"/>
        <v>43490</v>
      </c>
    </row>
    <row r="800" spans="1:18" x14ac:dyDescent="0.35">
      <c r="A800" t="s">
        <v>1055</v>
      </c>
      <c r="B800" t="s">
        <v>18</v>
      </c>
      <c r="C800" t="s">
        <v>19</v>
      </c>
      <c r="D800" t="s">
        <v>20</v>
      </c>
      <c r="E800" t="s">
        <v>42</v>
      </c>
      <c r="F800" t="s">
        <v>54</v>
      </c>
      <c r="G800">
        <v>61.98</v>
      </c>
      <c r="H800">
        <v>3</v>
      </c>
      <c r="I800">
        <v>9.3000000000000007</v>
      </c>
      <c r="J800">
        <v>195.24</v>
      </c>
      <c r="K800" t="s">
        <v>75</v>
      </c>
      <c r="L800" t="s">
        <v>890</v>
      </c>
      <c r="M800" t="s">
        <v>25</v>
      </c>
      <c r="N800">
        <v>185.94</v>
      </c>
      <c r="O800">
        <v>4.7618999999999998</v>
      </c>
      <c r="P800">
        <v>9.3000000000000007</v>
      </c>
      <c r="Q800">
        <v>9</v>
      </c>
      <c r="R800" s="8">
        <f t="shared" si="12"/>
        <v>43505</v>
      </c>
    </row>
    <row r="801" spans="1:18" x14ac:dyDescent="0.35">
      <c r="A801" t="s">
        <v>1056</v>
      </c>
      <c r="B801" t="s">
        <v>68</v>
      </c>
      <c r="C801" t="s">
        <v>69</v>
      </c>
      <c r="D801" t="s">
        <v>27</v>
      </c>
      <c r="E801" t="s">
        <v>42</v>
      </c>
      <c r="F801" t="s">
        <v>22</v>
      </c>
      <c r="G801">
        <v>77.739999999999995</v>
      </c>
      <c r="H801">
        <v>9</v>
      </c>
      <c r="I801">
        <v>34.979999999999997</v>
      </c>
      <c r="J801">
        <v>734.64</v>
      </c>
      <c r="K801" t="s">
        <v>113</v>
      </c>
      <c r="L801" t="s">
        <v>261</v>
      </c>
      <c r="M801" t="s">
        <v>45</v>
      </c>
      <c r="N801">
        <v>699.66</v>
      </c>
      <c r="O801">
        <v>4.7618999999999998</v>
      </c>
      <c r="P801">
        <v>34.979999999999997</v>
      </c>
      <c r="Q801">
        <v>7.4</v>
      </c>
      <c r="R801" s="8">
        <f t="shared" si="12"/>
        <v>43504</v>
      </c>
    </row>
    <row r="802" spans="1:18" x14ac:dyDescent="0.35">
      <c r="A802" t="s">
        <v>1057</v>
      </c>
      <c r="B802" t="s">
        <v>68</v>
      </c>
      <c r="C802" t="s">
        <v>69</v>
      </c>
      <c r="D802" t="s">
        <v>20</v>
      </c>
      <c r="E802" t="s">
        <v>42</v>
      </c>
      <c r="F802" t="s">
        <v>50</v>
      </c>
      <c r="G802">
        <v>66.69</v>
      </c>
      <c r="H802">
        <v>10</v>
      </c>
      <c r="I802">
        <v>33.340000000000003</v>
      </c>
      <c r="J802">
        <v>700.24</v>
      </c>
      <c r="K802" t="s">
        <v>39</v>
      </c>
      <c r="L802" t="s">
        <v>171</v>
      </c>
      <c r="M802" t="s">
        <v>35</v>
      </c>
      <c r="N802">
        <v>666.9</v>
      </c>
      <c r="O802">
        <v>4.7618999999999998</v>
      </c>
      <c r="P802">
        <v>33.340000000000003</v>
      </c>
      <c r="Q802">
        <v>5.2</v>
      </c>
      <c r="R802" s="8">
        <f t="shared" si="12"/>
        <v>43543</v>
      </c>
    </row>
    <row r="803" spans="1:18" x14ac:dyDescent="0.35">
      <c r="A803" t="s">
        <v>1058</v>
      </c>
      <c r="B803" t="s">
        <v>68</v>
      </c>
      <c r="C803" t="s">
        <v>69</v>
      </c>
      <c r="D803" t="s">
        <v>27</v>
      </c>
      <c r="E803" t="s">
        <v>21</v>
      </c>
      <c r="F803" t="s">
        <v>32</v>
      </c>
      <c r="G803">
        <v>19.78</v>
      </c>
      <c r="H803">
        <v>10</v>
      </c>
      <c r="I803">
        <v>9.89</v>
      </c>
      <c r="J803">
        <v>207.69</v>
      </c>
      <c r="K803" t="s">
        <v>322</v>
      </c>
      <c r="L803" t="s">
        <v>110</v>
      </c>
      <c r="M803" t="s">
        <v>45</v>
      </c>
      <c r="N803">
        <v>197.8</v>
      </c>
      <c r="O803">
        <v>4.7618999999999998</v>
      </c>
      <c r="P803">
        <v>9.89</v>
      </c>
      <c r="Q803">
        <v>5</v>
      </c>
      <c r="R803" s="8">
        <f t="shared" si="12"/>
        <v>43523</v>
      </c>
    </row>
    <row r="804" spans="1:18" x14ac:dyDescent="0.35">
      <c r="A804" t="s">
        <v>1059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>
        <v>64.3</v>
      </c>
      <c r="H804">
        <v>1</v>
      </c>
      <c r="I804">
        <v>3.21</v>
      </c>
      <c r="J804">
        <v>67.510000000000005</v>
      </c>
      <c r="K804" t="s">
        <v>93</v>
      </c>
      <c r="L804" t="s">
        <v>212</v>
      </c>
      <c r="M804" t="s">
        <v>35</v>
      </c>
      <c r="N804">
        <v>64.3</v>
      </c>
      <c r="O804">
        <v>4.7618999999999998</v>
      </c>
      <c r="P804">
        <v>3.21</v>
      </c>
      <c r="Q804">
        <v>5.7</v>
      </c>
      <c r="R804" s="8">
        <f t="shared" si="12"/>
        <v>43489</v>
      </c>
    </row>
    <row r="805" spans="1:18" x14ac:dyDescent="0.35">
      <c r="A805" t="s">
        <v>1060</v>
      </c>
      <c r="B805" t="s">
        <v>37</v>
      </c>
      <c r="C805" t="s">
        <v>38</v>
      </c>
      <c r="D805" t="s">
        <v>20</v>
      </c>
      <c r="E805" t="s">
        <v>42</v>
      </c>
      <c r="F805" t="s">
        <v>28</v>
      </c>
      <c r="G805">
        <v>43.18</v>
      </c>
      <c r="H805">
        <v>1</v>
      </c>
      <c r="I805">
        <v>2.16</v>
      </c>
      <c r="J805">
        <v>45.34</v>
      </c>
      <c r="K805" t="s">
        <v>175</v>
      </c>
      <c r="L805" t="s">
        <v>466</v>
      </c>
      <c r="M805" t="s">
        <v>35</v>
      </c>
      <c r="N805">
        <v>43.18</v>
      </c>
      <c r="O805">
        <v>4.7618999999999998</v>
      </c>
      <c r="P805">
        <v>2.16</v>
      </c>
      <c r="Q805">
        <v>4.9000000000000004</v>
      </c>
      <c r="R805" s="8">
        <f t="shared" si="12"/>
        <v>43487</v>
      </c>
    </row>
    <row r="806" spans="1:18" x14ac:dyDescent="0.35">
      <c r="A806" t="s">
        <v>1061</v>
      </c>
      <c r="B806" t="s">
        <v>68</v>
      </c>
      <c r="C806" t="s">
        <v>69</v>
      </c>
      <c r="D806" t="s">
        <v>27</v>
      </c>
      <c r="E806" t="s">
        <v>42</v>
      </c>
      <c r="F806" t="s">
        <v>22</v>
      </c>
      <c r="G806">
        <v>16.190000000000001</v>
      </c>
      <c r="H806">
        <v>4</v>
      </c>
      <c r="I806">
        <v>3.24</v>
      </c>
      <c r="J806">
        <v>68</v>
      </c>
      <c r="K806" t="s">
        <v>124</v>
      </c>
      <c r="L806" t="s">
        <v>200</v>
      </c>
      <c r="M806" t="s">
        <v>35</v>
      </c>
      <c r="N806">
        <v>64.760000000000005</v>
      </c>
      <c r="O806">
        <v>4.7618999999999998</v>
      </c>
      <c r="P806">
        <v>3.24</v>
      </c>
      <c r="Q806">
        <v>8.9</v>
      </c>
      <c r="R806" s="8">
        <f t="shared" si="12"/>
        <v>43482</v>
      </c>
    </row>
    <row r="807" spans="1:18" x14ac:dyDescent="0.35">
      <c r="A807" t="s">
        <v>1062</v>
      </c>
      <c r="B807" t="s">
        <v>37</v>
      </c>
      <c r="C807" t="s">
        <v>38</v>
      </c>
      <c r="D807" t="s">
        <v>20</v>
      </c>
      <c r="E807" t="s">
        <v>42</v>
      </c>
      <c r="F807" t="s">
        <v>50</v>
      </c>
      <c r="G807">
        <v>28.27</v>
      </c>
      <c r="H807">
        <v>8</v>
      </c>
      <c r="I807">
        <v>11.31</v>
      </c>
      <c r="J807">
        <v>237.47</v>
      </c>
      <c r="K807" t="s">
        <v>136</v>
      </c>
      <c r="L807" t="s">
        <v>76</v>
      </c>
      <c r="M807" t="s">
        <v>45</v>
      </c>
      <c r="N807">
        <v>226.16</v>
      </c>
      <c r="O807">
        <v>4.7618999999999998</v>
      </c>
      <c r="P807">
        <v>11.31</v>
      </c>
      <c r="Q807">
        <v>6.7</v>
      </c>
      <c r="R807" s="8">
        <f t="shared" si="12"/>
        <v>43501</v>
      </c>
    </row>
    <row r="808" spans="1:18" x14ac:dyDescent="0.35">
      <c r="A808" t="s">
        <v>1063</v>
      </c>
      <c r="B808" t="s">
        <v>37</v>
      </c>
      <c r="C808" t="s">
        <v>38</v>
      </c>
      <c r="D808" t="s">
        <v>20</v>
      </c>
      <c r="E808" t="s">
        <v>42</v>
      </c>
      <c r="F808" t="s">
        <v>50</v>
      </c>
      <c r="G808">
        <v>89.13</v>
      </c>
      <c r="H808">
        <v>8</v>
      </c>
      <c r="I808">
        <v>35.65</v>
      </c>
      <c r="J808">
        <v>748.69</v>
      </c>
      <c r="K808" t="s">
        <v>51</v>
      </c>
      <c r="L808" t="s">
        <v>30</v>
      </c>
      <c r="M808" t="s">
        <v>25</v>
      </c>
      <c r="N808">
        <v>713.04</v>
      </c>
      <c r="O808">
        <v>4.7618999999999998</v>
      </c>
      <c r="P808">
        <v>35.65</v>
      </c>
      <c r="Q808">
        <v>4.5</v>
      </c>
      <c r="R808" s="8">
        <f t="shared" si="12"/>
        <v>43525</v>
      </c>
    </row>
    <row r="809" spans="1:18" x14ac:dyDescent="0.35">
      <c r="A809" t="s">
        <v>1064</v>
      </c>
      <c r="B809" t="s">
        <v>37</v>
      </c>
      <c r="C809" t="s">
        <v>38</v>
      </c>
      <c r="D809" t="s">
        <v>27</v>
      </c>
      <c r="E809" t="s">
        <v>42</v>
      </c>
      <c r="F809" t="s">
        <v>32</v>
      </c>
      <c r="G809">
        <v>65.17</v>
      </c>
      <c r="H809">
        <v>3</v>
      </c>
      <c r="I809">
        <v>9.7799999999999994</v>
      </c>
      <c r="J809">
        <v>205.29</v>
      </c>
      <c r="K809" t="s">
        <v>395</v>
      </c>
      <c r="L809" t="s">
        <v>97</v>
      </c>
      <c r="M809" t="s">
        <v>25</v>
      </c>
      <c r="N809">
        <v>195.51</v>
      </c>
      <c r="O809">
        <v>4.7618999999999998</v>
      </c>
      <c r="P809">
        <v>9.7799999999999994</v>
      </c>
      <c r="Q809">
        <v>8.4</v>
      </c>
      <c r="R809" s="8">
        <f t="shared" si="12"/>
        <v>43519</v>
      </c>
    </row>
    <row r="810" spans="1:18" x14ac:dyDescent="0.35">
      <c r="A810" t="s">
        <v>1065</v>
      </c>
      <c r="B810" t="s">
        <v>37</v>
      </c>
      <c r="C810" t="s">
        <v>38</v>
      </c>
      <c r="D810" t="s">
        <v>20</v>
      </c>
      <c r="E810" t="s">
        <v>21</v>
      </c>
      <c r="F810" t="s">
        <v>32</v>
      </c>
      <c r="G810">
        <v>72.88</v>
      </c>
      <c r="H810">
        <v>1</v>
      </c>
      <c r="I810">
        <v>3.64</v>
      </c>
      <c r="J810">
        <v>76.52</v>
      </c>
      <c r="K810" t="s">
        <v>164</v>
      </c>
      <c r="L810" t="s">
        <v>117</v>
      </c>
      <c r="M810" t="s">
        <v>25</v>
      </c>
      <c r="N810">
        <v>72.88</v>
      </c>
      <c r="O810">
        <v>4.7618999999999998</v>
      </c>
      <c r="P810">
        <v>3.64</v>
      </c>
      <c r="Q810">
        <v>7.2</v>
      </c>
      <c r="R810" s="8">
        <f t="shared" ref="R810:R873" si="13">DATEVALUE(K810)</f>
        <v>43496</v>
      </c>
    </row>
    <row r="811" spans="1:18" x14ac:dyDescent="0.35">
      <c r="A811" t="s">
        <v>1066</v>
      </c>
      <c r="B811" t="s">
        <v>68</v>
      </c>
      <c r="C811" t="s">
        <v>69</v>
      </c>
      <c r="D811" t="s">
        <v>20</v>
      </c>
      <c r="E811" t="s">
        <v>42</v>
      </c>
      <c r="F811" t="s">
        <v>32</v>
      </c>
      <c r="G811">
        <v>99.32</v>
      </c>
      <c r="H811">
        <v>9</v>
      </c>
      <c r="I811">
        <v>44.69</v>
      </c>
      <c r="J811">
        <v>938.57</v>
      </c>
      <c r="K811" t="s">
        <v>187</v>
      </c>
      <c r="L811" t="s">
        <v>270</v>
      </c>
      <c r="M811" t="s">
        <v>45</v>
      </c>
      <c r="N811">
        <v>893.88</v>
      </c>
      <c r="O811">
        <v>4.7618999999999998</v>
      </c>
      <c r="P811">
        <v>44.69</v>
      </c>
      <c r="Q811">
        <v>7</v>
      </c>
      <c r="R811" s="8">
        <f t="shared" si="13"/>
        <v>43481</v>
      </c>
    </row>
    <row r="812" spans="1:18" x14ac:dyDescent="0.35">
      <c r="A812" t="s">
        <v>1067</v>
      </c>
      <c r="B812" t="s">
        <v>37</v>
      </c>
      <c r="C812" t="s">
        <v>38</v>
      </c>
      <c r="D812" t="s">
        <v>27</v>
      </c>
      <c r="E812" t="s">
        <v>42</v>
      </c>
      <c r="F812" t="s">
        <v>54</v>
      </c>
      <c r="G812">
        <v>32.75</v>
      </c>
      <c r="H812">
        <v>9</v>
      </c>
      <c r="I812">
        <v>14.74</v>
      </c>
      <c r="J812">
        <v>309.49</v>
      </c>
      <c r="K812" t="s">
        <v>245</v>
      </c>
      <c r="L812" t="s">
        <v>334</v>
      </c>
      <c r="M812" t="s">
        <v>45</v>
      </c>
      <c r="N812">
        <v>294.75</v>
      </c>
      <c r="O812">
        <v>4.7618999999999998</v>
      </c>
      <c r="P812">
        <v>14.74</v>
      </c>
      <c r="Q812">
        <v>7.8</v>
      </c>
      <c r="R812" s="8">
        <f t="shared" si="13"/>
        <v>43471</v>
      </c>
    </row>
    <row r="813" spans="1:18" x14ac:dyDescent="0.35">
      <c r="A813" t="s">
        <v>1068</v>
      </c>
      <c r="B813" t="s">
        <v>18</v>
      </c>
      <c r="C813" t="s">
        <v>19</v>
      </c>
      <c r="D813" t="s">
        <v>27</v>
      </c>
      <c r="E813" t="s">
        <v>42</v>
      </c>
      <c r="F813" t="s">
        <v>61</v>
      </c>
      <c r="G813">
        <v>77.14</v>
      </c>
      <c r="H813">
        <v>4</v>
      </c>
      <c r="I813">
        <v>15.43</v>
      </c>
      <c r="J813">
        <v>323.99</v>
      </c>
      <c r="K813" t="s">
        <v>560</v>
      </c>
      <c r="L813" t="s">
        <v>449</v>
      </c>
      <c r="M813" t="s">
        <v>35</v>
      </c>
      <c r="N813">
        <v>308.56</v>
      </c>
      <c r="O813">
        <v>4.7618999999999998</v>
      </c>
      <c r="P813">
        <v>15.43</v>
      </c>
      <c r="Q813">
        <v>4.7</v>
      </c>
      <c r="R813" s="8">
        <f t="shared" si="13"/>
        <v>43516</v>
      </c>
    </row>
    <row r="814" spans="1:18" x14ac:dyDescent="0.35">
      <c r="A814" t="s">
        <v>1069</v>
      </c>
      <c r="B814" t="s">
        <v>37</v>
      </c>
      <c r="C814" t="s">
        <v>38</v>
      </c>
      <c r="D814" t="s">
        <v>27</v>
      </c>
      <c r="E814" t="s">
        <v>42</v>
      </c>
      <c r="F814" t="s">
        <v>32</v>
      </c>
      <c r="G814">
        <v>16.14</v>
      </c>
      <c r="H814">
        <v>9</v>
      </c>
      <c r="I814">
        <v>7.26</v>
      </c>
      <c r="J814">
        <v>152.52000000000001</v>
      </c>
      <c r="K814" t="s">
        <v>78</v>
      </c>
      <c r="L814" t="s">
        <v>44</v>
      </c>
      <c r="M814" t="s">
        <v>35</v>
      </c>
      <c r="N814">
        <v>145.26</v>
      </c>
      <c r="O814">
        <v>4.7618999999999998</v>
      </c>
      <c r="P814">
        <v>7.26</v>
      </c>
      <c r="Q814">
        <v>4.8</v>
      </c>
      <c r="R814" s="8">
        <f t="shared" si="13"/>
        <v>43550</v>
      </c>
    </row>
    <row r="815" spans="1:18" x14ac:dyDescent="0.35">
      <c r="A815" t="s">
        <v>1070</v>
      </c>
      <c r="B815" t="s">
        <v>37</v>
      </c>
      <c r="C815" t="s">
        <v>38</v>
      </c>
      <c r="D815" t="s">
        <v>20</v>
      </c>
      <c r="E815" t="s">
        <v>21</v>
      </c>
      <c r="F815" t="s">
        <v>28</v>
      </c>
      <c r="G815">
        <v>64.63</v>
      </c>
      <c r="H815">
        <v>3</v>
      </c>
      <c r="I815">
        <v>9.69</v>
      </c>
      <c r="J815">
        <v>203.58</v>
      </c>
      <c r="K815" t="s">
        <v>269</v>
      </c>
      <c r="L815" t="s">
        <v>843</v>
      </c>
      <c r="M815" t="s">
        <v>25</v>
      </c>
      <c r="N815">
        <v>193.89</v>
      </c>
      <c r="O815">
        <v>4.7618999999999998</v>
      </c>
      <c r="P815">
        <v>9.69</v>
      </c>
      <c r="Q815">
        <v>6.3</v>
      </c>
      <c r="R815" s="8">
        <f t="shared" si="13"/>
        <v>43503</v>
      </c>
    </row>
    <row r="816" spans="1:18" x14ac:dyDescent="0.35">
      <c r="A816" t="s">
        <v>1071</v>
      </c>
      <c r="B816" t="s">
        <v>18</v>
      </c>
      <c r="C816" t="s">
        <v>19</v>
      </c>
      <c r="D816" t="s">
        <v>20</v>
      </c>
      <c r="E816" t="s">
        <v>42</v>
      </c>
      <c r="F816" t="s">
        <v>54</v>
      </c>
      <c r="G816">
        <v>49.66</v>
      </c>
      <c r="H816">
        <v>3</v>
      </c>
      <c r="I816">
        <v>7.45</v>
      </c>
      <c r="J816">
        <v>156.43</v>
      </c>
      <c r="K816" t="s">
        <v>330</v>
      </c>
      <c r="L816" t="s">
        <v>236</v>
      </c>
      <c r="M816" t="s">
        <v>25</v>
      </c>
      <c r="N816">
        <v>148.97999999999999</v>
      </c>
      <c r="O816">
        <v>4.7618999999999998</v>
      </c>
      <c r="P816">
        <v>7.45</v>
      </c>
      <c r="Q816">
        <v>5.3</v>
      </c>
      <c r="R816" s="8">
        <f t="shared" si="13"/>
        <v>43493</v>
      </c>
    </row>
    <row r="817" spans="1:18" x14ac:dyDescent="0.35">
      <c r="A817" t="s">
        <v>1072</v>
      </c>
      <c r="B817" t="s">
        <v>68</v>
      </c>
      <c r="C817" t="s">
        <v>69</v>
      </c>
      <c r="D817" t="s">
        <v>20</v>
      </c>
      <c r="E817" t="s">
        <v>42</v>
      </c>
      <c r="F817" t="s">
        <v>22</v>
      </c>
      <c r="G817">
        <v>37.75</v>
      </c>
      <c r="H817">
        <v>1</v>
      </c>
      <c r="I817">
        <v>1.89</v>
      </c>
      <c r="J817">
        <v>39.64</v>
      </c>
      <c r="K817" t="s">
        <v>65</v>
      </c>
      <c r="L817" t="s">
        <v>449</v>
      </c>
      <c r="M817" t="s">
        <v>35</v>
      </c>
      <c r="N817">
        <v>37.75</v>
      </c>
      <c r="O817">
        <v>4.7618999999999998</v>
      </c>
      <c r="P817">
        <v>1.89</v>
      </c>
      <c r="Q817">
        <v>8.6</v>
      </c>
      <c r="R817" s="8">
        <f t="shared" si="13"/>
        <v>43542</v>
      </c>
    </row>
    <row r="818" spans="1:18" x14ac:dyDescent="0.35">
      <c r="A818" t="s">
        <v>1073</v>
      </c>
      <c r="B818" t="s">
        <v>37</v>
      </c>
      <c r="C818" t="s">
        <v>38</v>
      </c>
      <c r="D818" t="s">
        <v>20</v>
      </c>
      <c r="E818" t="s">
        <v>21</v>
      </c>
      <c r="F818" t="s">
        <v>28</v>
      </c>
      <c r="G818">
        <v>11.44</v>
      </c>
      <c r="H818">
        <v>1</v>
      </c>
      <c r="I818">
        <v>0.56999999999999995</v>
      </c>
      <c r="J818">
        <v>12.01</v>
      </c>
      <c r="K818" t="s">
        <v>415</v>
      </c>
      <c r="L818" t="s">
        <v>413</v>
      </c>
      <c r="M818" t="s">
        <v>25</v>
      </c>
      <c r="N818">
        <v>11.44</v>
      </c>
      <c r="O818">
        <v>4.7618999999999998</v>
      </c>
      <c r="P818">
        <v>0.56999999999999995</v>
      </c>
      <c r="Q818">
        <v>8</v>
      </c>
      <c r="R818" s="8">
        <f t="shared" si="13"/>
        <v>43467</v>
      </c>
    </row>
    <row r="819" spans="1:18" x14ac:dyDescent="0.35">
      <c r="A819" t="s">
        <v>1074</v>
      </c>
      <c r="B819" t="s">
        <v>68</v>
      </c>
      <c r="C819" t="s">
        <v>69</v>
      </c>
      <c r="D819" t="s">
        <v>20</v>
      </c>
      <c r="E819" t="s">
        <v>21</v>
      </c>
      <c r="F819" t="s">
        <v>28</v>
      </c>
      <c r="G819">
        <v>47.41</v>
      </c>
      <c r="H819">
        <v>2</v>
      </c>
      <c r="I819">
        <v>4.74</v>
      </c>
      <c r="J819">
        <v>99.56</v>
      </c>
      <c r="K819" t="s">
        <v>266</v>
      </c>
      <c r="L819" t="s">
        <v>391</v>
      </c>
      <c r="M819" t="s">
        <v>25</v>
      </c>
      <c r="N819">
        <v>94.82</v>
      </c>
      <c r="O819">
        <v>4.7618999999999998</v>
      </c>
      <c r="P819">
        <v>4.74</v>
      </c>
      <c r="Q819">
        <v>5.0999999999999996</v>
      </c>
      <c r="R819" s="8">
        <f t="shared" si="13"/>
        <v>43507</v>
      </c>
    </row>
    <row r="820" spans="1:18" x14ac:dyDescent="0.35">
      <c r="A820" t="s">
        <v>1075</v>
      </c>
      <c r="B820" t="s">
        <v>18</v>
      </c>
      <c r="C820" t="s">
        <v>19</v>
      </c>
      <c r="D820" t="s">
        <v>27</v>
      </c>
      <c r="E820" t="s">
        <v>42</v>
      </c>
      <c r="F820" t="s">
        <v>28</v>
      </c>
      <c r="G820">
        <v>30.92</v>
      </c>
      <c r="H820">
        <v>2</v>
      </c>
      <c r="I820">
        <v>3.09</v>
      </c>
      <c r="J820">
        <v>64.930000000000007</v>
      </c>
      <c r="K820" t="s">
        <v>127</v>
      </c>
      <c r="L820" t="s">
        <v>48</v>
      </c>
      <c r="M820" t="s">
        <v>45</v>
      </c>
      <c r="N820">
        <v>61.84</v>
      </c>
      <c r="O820">
        <v>4.7618999999999998</v>
      </c>
      <c r="P820">
        <v>3.09</v>
      </c>
      <c r="Q820">
        <v>6.4</v>
      </c>
      <c r="R820" s="8">
        <f t="shared" si="13"/>
        <v>43511</v>
      </c>
    </row>
    <row r="821" spans="1:18" x14ac:dyDescent="0.35">
      <c r="A821" t="s">
        <v>1076</v>
      </c>
      <c r="B821" t="s">
        <v>68</v>
      </c>
      <c r="C821" t="s">
        <v>69</v>
      </c>
      <c r="D821" t="s">
        <v>27</v>
      </c>
      <c r="E821" t="s">
        <v>21</v>
      </c>
      <c r="F821" t="s">
        <v>32</v>
      </c>
      <c r="G821">
        <v>29.81</v>
      </c>
      <c r="H821">
        <v>5</v>
      </c>
      <c r="I821">
        <v>7.45</v>
      </c>
      <c r="J821">
        <v>156.5</v>
      </c>
      <c r="K821" t="s">
        <v>276</v>
      </c>
      <c r="L821" t="s">
        <v>248</v>
      </c>
      <c r="M821" t="s">
        <v>45</v>
      </c>
      <c r="N821">
        <v>149.05000000000001</v>
      </c>
      <c r="O821">
        <v>4.7618999999999998</v>
      </c>
      <c r="P821">
        <v>7.45</v>
      </c>
      <c r="Q821">
        <v>4.4000000000000004</v>
      </c>
      <c r="R821" s="8">
        <f t="shared" si="13"/>
        <v>43549</v>
      </c>
    </row>
    <row r="822" spans="1:18" x14ac:dyDescent="0.35">
      <c r="A822" t="s">
        <v>1077</v>
      </c>
      <c r="B822" t="s">
        <v>37</v>
      </c>
      <c r="C822" t="s">
        <v>38</v>
      </c>
      <c r="D822" t="s">
        <v>27</v>
      </c>
      <c r="E822" t="s">
        <v>42</v>
      </c>
      <c r="F822" t="s">
        <v>28</v>
      </c>
      <c r="G822">
        <v>74.13</v>
      </c>
      <c r="H822">
        <v>10</v>
      </c>
      <c r="I822">
        <v>37.06</v>
      </c>
      <c r="J822">
        <v>778.36</v>
      </c>
      <c r="K822" t="s">
        <v>175</v>
      </c>
      <c r="L822" t="s">
        <v>56</v>
      </c>
      <c r="M822" t="s">
        <v>25</v>
      </c>
      <c r="N822">
        <v>741.3</v>
      </c>
      <c r="O822">
        <v>4.7618999999999998</v>
      </c>
      <c r="P822">
        <v>37.06</v>
      </c>
      <c r="Q822">
        <v>5.9</v>
      </c>
      <c r="R822" s="8">
        <f t="shared" si="13"/>
        <v>43487</v>
      </c>
    </row>
    <row r="823" spans="1:18" x14ac:dyDescent="0.35">
      <c r="A823" t="s">
        <v>1078</v>
      </c>
      <c r="B823" t="s">
        <v>18</v>
      </c>
      <c r="C823" t="s">
        <v>19</v>
      </c>
      <c r="D823" t="s">
        <v>27</v>
      </c>
      <c r="E823" t="s">
        <v>21</v>
      </c>
      <c r="F823" t="s">
        <v>61</v>
      </c>
      <c r="G823">
        <v>25.78</v>
      </c>
      <c r="H823">
        <v>6</v>
      </c>
      <c r="I823">
        <v>7.73</v>
      </c>
      <c r="J823">
        <v>162.41</v>
      </c>
      <c r="K823" t="s">
        <v>109</v>
      </c>
      <c r="L823" t="s">
        <v>63</v>
      </c>
      <c r="M823" t="s">
        <v>35</v>
      </c>
      <c r="N823">
        <v>154.68</v>
      </c>
      <c r="O823">
        <v>4.7618999999999998</v>
      </c>
      <c r="P823">
        <v>7.73</v>
      </c>
      <c r="Q823">
        <v>4.0999999999999996</v>
      </c>
      <c r="R823" s="8">
        <f t="shared" si="13"/>
        <v>43551</v>
      </c>
    </row>
    <row r="824" spans="1:18" x14ac:dyDescent="0.35">
      <c r="A824" t="s">
        <v>1079</v>
      </c>
      <c r="B824" t="s">
        <v>37</v>
      </c>
      <c r="C824" t="s">
        <v>38</v>
      </c>
      <c r="D824" t="s">
        <v>27</v>
      </c>
      <c r="E824" t="s">
        <v>21</v>
      </c>
      <c r="F824" t="s">
        <v>50</v>
      </c>
      <c r="G824">
        <v>62.87</v>
      </c>
      <c r="H824">
        <v>1</v>
      </c>
      <c r="I824">
        <v>3.14</v>
      </c>
      <c r="J824">
        <v>66.010000000000005</v>
      </c>
      <c r="K824" t="s">
        <v>253</v>
      </c>
      <c r="L824" t="s">
        <v>207</v>
      </c>
      <c r="M824" t="s">
        <v>45</v>
      </c>
      <c r="N824">
        <v>62.87</v>
      </c>
      <c r="O824">
        <v>4.7618999999999998</v>
      </c>
      <c r="P824">
        <v>3.14</v>
      </c>
      <c r="Q824">
        <v>5.9</v>
      </c>
      <c r="R824" s="8">
        <f t="shared" si="13"/>
        <v>43495</v>
      </c>
    </row>
    <row r="825" spans="1:18" x14ac:dyDescent="0.35">
      <c r="A825" t="s">
        <v>1080</v>
      </c>
      <c r="B825" t="s">
        <v>37</v>
      </c>
      <c r="C825" t="s">
        <v>38</v>
      </c>
      <c r="D825" t="s">
        <v>20</v>
      </c>
      <c r="E825" t="s">
        <v>21</v>
      </c>
      <c r="F825" t="s">
        <v>28</v>
      </c>
      <c r="G825">
        <v>22.38</v>
      </c>
      <c r="H825">
        <v>8</v>
      </c>
      <c r="I825">
        <v>8.9499999999999993</v>
      </c>
      <c r="J825">
        <v>187.99</v>
      </c>
      <c r="K825" t="s">
        <v>269</v>
      </c>
      <c r="L825" t="s">
        <v>97</v>
      </c>
      <c r="M825" t="s">
        <v>35</v>
      </c>
      <c r="N825">
        <v>179.04</v>
      </c>
      <c r="O825">
        <v>4.7618999999999998</v>
      </c>
      <c r="P825">
        <v>8.9499999999999993</v>
      </c>
      <c r="Q825">
        <v>5.2</v>
      </c>
      <c r="R825" s="8">
        <f t="shared" si="13"/>
        <v>43503</v>
      </c>
    </row>
    <row r="826" spans="1:18" x14ac:dyDescent="0.35">
      <c r="A826" t="s">
        <v>1081</v>
      </c>
      <c r="B826" t="s">
        <v>68</v>
      </c>
      <c r="C826" t="s">
        <v>69</v>
      </c>
      <c r="D826" t="s">
        <v>27</v>
      </c>
      <c r="E826" t="s">
        <v>42</v>
      </c>
      <c r="F826" t="s">
        <v>54</v>
      </c>
      <c r="G826">
        <v>35.03</v>
      </c>
      <c r="H826">
        <v>1</v>
      </c>
      <c r="I826">
        <v>1.75</v>
      </c>
      <c r="J826">
        <v>36.78</v>
      </c>
      <c r="K826" t="s">
        <v>339</v>
      </c>
      <c r="L826" t="s">
        <v>80</v>
      </c>
      <c r="M826" t="s">
        <v>35</v>
      </c>
      <c r="N826">
        <v>35.03</v>
      </c>
      <c r="O826">
        <v>4.7618999999999998</v>
      </c>
      <c r="P826">
        <v>1.75</v>
      </c>
      <c r="Q826">
        <v>8.5</v>
      </c>
      <c r="R826" s="8">
        <f t="shared" si="13"/>
        <v>43532</v>
      </c>
    </row>
    <row r="827" spans="1:18" x14ac:dyDescent="0.35">
      <c r="A827" t="s">
        <v>1082</v>
      </c>
      <c r="B827" t="s">
        <v>18</v>
      </c>
      <c r="C827" t="s">
        <v>19</v>
      </c>
      <c r="D827" t="s">
        <v>27</v>
      </c>
      <c r="E827" t="s">
        <v>42</v>
      </c>
      <c r="F827" t="s">
        <v>54</v>
      </c>
      <c r="G827">
        <v>28.52</v>
      </c>
      <c r="H827">
        <v>1</v>
      </c>
      <c r="I827">
        <v>1.43</v>
      </c>
      <c r="J827">
        <v>29.95</v>
      </c>
      <c r="K827" t="s">
        <v>109</v>
      </c>
      <c r="L827" t="s">
        <v>162</v>
      </c>
      <c r="M827" t="s">
        <v>25</v>
      </c>
      <c r="N827">
        <v>28.52</v>
      </c>
      <c r="O827">
        <v>4.7618999999999998</v>
      </c>
      <c r="P827">
        <v>1.43</v>
      </c>
      <c r="Q827">
        <v>8.3000000000000007</v>
      </c>
      <c r="R827" s="8">
        <f t="shared" si="13"/>
        <v>43551</v>
      </c>
    </row>
    <row r="828" spans="1:18" x14ac:dyDescent="0.35">
      <c r="A828" t="s">
        <v>1083</v>
      </c>
      <c r="B828" t="s">
        <v>37</v>
      </c>
      <c r="C828" t="s">
        <v>38</v>
      </c>
      <c r="D828" t="s">
        <v>27</v>
      </c>
      <c r="E828" t="s">
        <v>21</v>
      </c>
      <c r="F828" t="s">
        <v>32</v>
      </c>
      <c r="G828">
        <v>66.680000000000007</v>
      </c>
      <c r="H828">
        <v>2</v>
      </c>
      <c r="I828">
        <v>6.67</v>
      </c>
      <c r="J828">
        <v>140.03</v>
      </c>
      <c r="K828" t="s">
        <v>196</v>
      </c>
      <c r="L828" t="s">
        <v>224</v>
      </c>
      <c r="M828" t="s">
        <v>45</v>
      </c>
      <c r="N828">
        <v>133.36000000000001</v>
      </c>
      <c r="O828">
        <v>4.7618999999999998</v>
      </c>
      <c r="P828">
        <v>6.67</v>
      </c>
      <c r="Q828">
        <v>7.8</v>
      </c>
      <c r="R828" s="8">
        <f t="shared" si="13"/>
        <v>43528</v>
      </c>
    </row>
    <row r="829" spans="1:18" x14ac:dyDescent="0.35">
      <c r="A829" t="s">
        <v>1084</v>
      </c>
      <c r="B829" t="s">
        <v>68</v>
      </c>
      <c r="C829" t="s">
        <v>69</v>
      </c>
      <c r="D829" t="s">
        <v>20</v>
      </c>
      <c r="E829" t="s">
        <v>21</v>
      </c>
      <c r="F829" t="s">
        <v>54</v>
      </c>
      <c r="G829">
        <v>63.34</v>
      </c>
      <c r="H829">
        <v>4</v>
      </c>
      <c r="I829">
        <v>12.67</v>
      </c>
      <c r="J829">
        <v>266.02999999999997</v>
      </c>
      <c r="K829" t="s">
        <v>164</v>
      </c>
      <c r="L829" t="s">
        <v>272</v>
      </c>
      <c r="M829" t="s">
        <v>35</v>
      </c>
      <c r="N829">
        <v>253.36</v>
      </c>
      <c r="O829">
        <v>4.7618999999999998</v>
      </c>
      <c r="P829">
        <v>12.67</v>
      </c>
      <c r="Q829">
        <v>8.3000000000000007</v>
      </c>
      <c r="R829" s="8">
        <f t="shared" si="13"/>
        <v>43496</v>
      </c>
    </row>
    <row r="830" spans="1:18" x14ac:dyDescent="0.35">
      <c r="A830" t="s">
        <v>1085</v>
      </c>
      <c r="B830" t="s">
        <v>68</v>
      </c>
      <c r="C830" t="s">
        <v>69</v>
      </c>
      <c r="D830" t="s">
        <v>20</v>
      </c>
      <c r="E830" t="s">
        <v>21</v>
      </c>
      <c r="F830" t="s">
        <v>32</v>
      </c>
      <c r="G830">
        <v>25.88</v>
      </c>
      <c r="H830">
        <v>4</v>
      </c>
      <c r="I830">
        <v>5.18</v>
      </c>
      <c r="J830">
        <v>108.7</v>
      </c>
      <c r="K830" t="s">
        <v>113</v>
      </c>
      <c r="L830" t="s">
        <v>497</v>
      </c>
      <c r="M830" t="s">
        <v>35</v>
      </c>
      <c r="N830">
        <v>103.52</v>
      </c>
      <c r="O830">
        <v>4.7618999999999998</v>
      </c>
      <c r="P830">
        <v>5.18</v>
      </c>
      <c r="Q830">
        <v>9.8000000000000007</v>
      </c>
      <c r="R830" s="8">
        <f t="shared" si="13"/>
        <v>43504</v>
      </c>
    </row>
    <row r="831" spans="1:18" x14ac:dyDescent="0.35">
      <c r="A831" t="s">
        <v>1086</v>
      </c>
      <c r="B831" t="s">
        <v>37</v>
      </c>
      <c r="C831" t="s">
        <v>38</v>
      </c>
      <c r="D831" t="s">
        <v>27</v>
      </c>
      <c r="E831" t="s">
        <v>21</v>
      </c>
      <c r="F831" t="s">
        <v>61</v>
      </c>
      <c r="G831">
        <v>45.84</v>
      </c>
      <c r="H831">
        <v>3</v>
      </c>
      <c r="I831">
        <v>6.88</v>
      </c>
      <c r="J831">
        <v>144.4</v>
      </c>
      <c r="K831" t="s">
        <v>226</v>
      </c>
      <c r="L831" t="s">
        <v>307</v>
      </c>
      <c r="M831" t="s">
        <v>25</v>
      </c>
      <c r="N831">
        <v>137.52000000000001</v>
      </c>
      <c r="O831">
        <v>4.7618999999999998</v>
      </c>
      <c r="P831">
        <v>6.88</v>
      </c>
      <c r="Q831">
        <v>7.7</v>
      </c>
      <c r="R831" s="8">
        <f t="shared" si="13"/>
        <v>43526</v>
      </c>
    </row>
    <row r="832" spans="1:18" x14ac:dyDescent="0.35">
      <c r="A832" t="s">
        <v>1087</v>
      </c>
      <c r="B832" t="s">
        <v>68</v>
      </c>
      <c r="C832" t="s">
        <v>69</v>
      </c>
      <c r="D832" t="s">
        <v>27</v>
      </c>
      <c r="E832" t="s">
        <v>21</v>
      </c>
      <c r="F832" t="s">
        <v>32</v>
      </c>
      <c r="G832">
        <v>48.47</v>
      </c>
      <c r="H832">
        <v>2</v>
      </c>
      <c r="I832">
        <v>4.8499999999999996</v>
      </c>
      <c r="J832">
        <v>101.79</v>
      </c>
      <c r="K832" t="s">
        <v>113</v>
      </c>
      <c r="L832" t="s">
        <v>299</v>
      </c>
      <c r="M832" t="s">
        <v>45</v>
      </c>
      <c r="N832">
        <v>96.94</v>
      </c>
      <c r="O832">
        <v>4.7618999999999998</v>
      </c>
      <c r="P832">
        <v>4.8499999999999996</v>
      </c>
      <c r="Q832">
        <v>7.3</v>
      </c>
      <c r="R832" s="8">
        <f t="shared" si="13"/>
        <v>43504</v>
      </c>
    </row>
    <row r="833" spans="1:18" x14ac:dyDescent="0.35">
      <c r="A833" t="s">
        <v>1088</v>
      </c>
      <c r="B833" t="s">
        <v>37</v>
      </c>
      <c r="C833" t="s">
        <v>38</v>
      </c>
      <c r="D833" t="s">
        <v>27</v>
      </c>
      <c r="E833" t="s">
        <v>42</v>
      </c>
      <c r="F833" t="s">
        <v>61</v>
      </c>
      <c r="G833">
        <v>50.82</v>
      </c>
      <c r="H833">
        <v>7</v>
      </c>
      <c r="I833">
        <v>17.79</v>
      </c>
      <c r="J833">
        <v>373.53</v>
      </c>
      <c r="K833" t="s">
        <v>121</v>
      </c>
      <c r="L833" t="s">
        <v>234</v>
      </c>
      <c r="M833" t="s">
        <v>45</v>
      </c>
      <c r="N833">
        <v>355.74</v>
      </c>
      <c r="O833">
        <v>4.7618999999999998</v>
      </c>
      <c r="P833">
        <v>17.79</v>
      </c>
      <c r="Q833">
        <v>6</v>
      </c>
      <c r="R833" s="8">
        <f t="shared" si="13"/>
        <v>43537</v>
      </c>
    </row>
    <row r="834" spans="1:18" x14ac:dyDescent="0.35">
      <c r="A834" t="s">
        <v>1089</v>
      </c>
      <c r="B834" t="s">
        <v>37</v>
      </c>
      <c r="C834" t="s">
        <v>38</v>
      </c>
      <c r="D834" t="s">
        <v>20</v>
      </c>
      <c r="E834" t="s">
        <v>21</v>
      </c>
      <c r="F834" t="s">
        <v>54</v>
      </c>
      <c r="G834">
        <v>10.38</v>
      </c>
      <c r="H834">
        <v>9</v>
      </c>
      <c r="I834">
        <v>4.67</v>
      </c>
      <c r="J834">
        <v>98.09</v>
      </c>
      <c r="K834" t="s">
        <v>320</v>
      </c>
      <c r="L834" t="s">
        <v>307</v>
      </c>
      <c r="M834" t="s">
        <v>35</v>
      </c>
      <c r="N834">
        <v>93.42</v>
      </c>
      <c r="O834">
        <v>4.7618999999999998</v>
      </c>
      <c r="P834">
        <v>4.67</v>
      </c>
      <c r="Q834">
        <v>9.6</v>
      </c>
      <c r="R834" s="8">
        <f t="shared" si="13"/>
        <v>43513</v>
      </c>
    </row>
    <row r="835" spans="1:18" x14ac:dyDescent="0.35">
      <c r="A835" t="s">
        <v>1090</v>
      </c>
      <c r="B835" t="s">
        <v>37</v>
      </c>
      <c r="C835" t="s">
        <v>38</v>
      </c>
      <c r="D835" t="s">
        <v>27</v>
      </c>
      <c r="E835" t="s">
        <v>42</v>
      </c>
      <c r="F835" t="s">
        <v>61</v>
      </c>
      <c r="G835">
        <v>67.69</v>
      </c>
      <c r="H835">
        <v>10</v>
      </c>
      <c r="I835">
        <v>33.840000000000003</v>
      </c>
      <c r="J835">
        <v>710.74</v>
      </c>
      <c r="K835" t="s">
        <v>85</v>
      </c>
      <c r="L835" t="s">
        <v>627</v>
      </c>
      <c r="M835" t="s">
        <v>45</v>
      </c>
      <c r="N835">
        <v>676.9</v>
      </c>
      <c r="O835">
        <v>4.7618999999999998</v>
      </c>
      <c r="P835">
        <v>33.840000000000003</v>
      </c>
      <c r="Q835">
        <v>6.3</v>
      </c>
      <c r="R835" s="8">
        <f t="shared" si="13"/>
        <v>43475</v>
      </c>
    </row>
    <row r="836" spans="1:18" x14ac:dyDescent="0.35">
      <c r="A836" t="s">
        <v>1091</v>
      </c>
      <c r="B836" t="s">
        <v>68</v>
      </c>
      <c r="C836" t="s">
        <v>69</v>
      </c>
      <c r="D836" t="s">
        <v>20</v>
      </c>
      <c r="E836" t="s">
        <v>42</v>
      </c>
      <c r="F836" t="s">
        <v>61</v>
      </c>
      <c r="G836">
        <v>79.41</v>
      </c>
      <c r="H836">
        <v>6</v>
      </c>
      <c r="I836">
        <v>23.82</v>
      </c>
      <c r="J836">
        <v>500.28</v>
      </c>
      <c r="K836" t="s">
        <v>62</v>
      </c>
      <c r="L836" t="s">
        <v>370</v>
      </c>
      <c r="M836" t="s">
        <v>25</v>
      </c>
      <c r="N836">
        <v>476.46</v>
      </c>
      <c r="O836">
        <v>4.7618999999999998</v>
      </c>
      <c r="P836">
        <v>23.82</v>
      </c>
      <c r="Q836">
        <v>6.2</v>
      </c>
      <c r="R836" s="8">
        <f t="shared" si="13"/>
        <v>43531</v>
      </c>
    </row>
    <row r="837" spans="1:18" x14ac:dyDescent="0.35">
      <c r="A837" t="s">
        <v>1092</v>
      </c>
      <c r="B837" t="s">
        <v>18</v>
      </c>
      <c r="C837" t="s">
        <v>19</v>
      </c>
      <c r="D837" t="s">
        <v>27</v>
      </c>
      <c r="E837" t="s">
        <v>42</v>
      </c>
      <c r="F837" t="s">
        <v>22</v>
      </c>
      <c r="G837">
        <v>32.21</v>
      </c>
      <c r="H837">
        <v>8</v>
      </c>
      <c r="I837">
        <v>12.88</v>
      </c>
      <c r="J837">
        <v>270.56</v>
      </c>
      <c r="K837" t="s">
        <v>231</v>
      </c>
      <c r="L837" t="s">
        <v>146</v>
      </c>
      <c r="M837" t="s">
        <v>25</v>
      </c>
      <c r="N837">
        <v>257.68</v>
      </c>
      <c r="O837">
        <v>4.7618999999999998</v>
      </c>
      <c r="P837">
        <v>12.88</v>
      </c>
      <c r="Q837">
        <v>8.1</v>
      </c>
      <c r="R837" s="8">
        <f t="shared" si="13"/>
        <v>43470</v>
      </c>
    </row>
    <row r="838" spans="1:18" x14ac:dyDescent="0.35">
      <c r="A838" t="s">
        <v>1093</v>
      </c>
      <c r="B838" t="s">
        <v>18</v>
      </c>
      <c r="C838" t="s">
        <v>19</v>
      </c>
      <c r="D838" t="s">
        <v>20</v>
      </c>
      <c r="E838" t="s">
        <v>42</v>
      </c>
      <c r="F838" t="s">
        <v>50</v>
      </c>
      <c r="G838">
        <v>50.99</v>
      </c>
      <c r="H838">
        <v>3</v>
      </c>
      <c r="I838">
        <v>7.65</v>
      </c>
      <c r="J838">
        <v>160.62</v>
      </c>
      <c r="K838" t="s">
        <v>179</v>
      </c>
      <c r="L838" t="s">
        <v>348</v>
      </c>
      <c r="M838" t="s">
        <v>25</v>
      </c>
      <c r="N838">
        <v>152.97</v>
      </c>
      <c r="O838">
        <v>4.7618999999999998</v>
      </c>
      <c r="P838">
        <v>7.65</v>
      </c>
      <c r="Q838">
        <v>9.6999999999999993</v>
      </c>
      <c r="R838" s="8">
        <f t="shared" si="13"/>
        <v>43498</v>
      </c>
    </row>
    <row r="839" spans="1:18" x14ac:dyDescent="0.35">
      <c r="A839" t="s">
        <v>1094</v>
      </c>
      <c r="B839" t="s">
        <v>68</v>
      </c>
      <c r="C839" t="s">
        <v>69</v>
      </c>
      <c r="D839" t="s">
        <v>20</v>
      </c>
      <c r="E839" t="s">
        <v>21</v>
      </c>
      <c r="F839" t="s">
        <v>28</v>
      </c>
      <c r="G839">
        <v>68</v>
      </c>
      <c r="H839">
        <v>7</v>
      </c>
      <c r="I839">
        <v>23.8</v>
      </c>
      <c r="J839">
        <v>499.8</v>
      </c>
      <c r="K839" t="s">
        <v>560</v>
      </c>
      <c r="L839" t="s">
        <v>1030</v>
      </c>
      <c r="M839" t="s">
        <v>25</v>
      </c>
      <c r="N839">
        <v>476</v>
      </c>
      <c r="O839">
        <v>4.7618999999999998</v>
      </c>
      <c r="P839">
        <v>23.8</v>
      </c>
      <c r="Q839">
        <v>9.5</v>
      </c>
      <c r="R839" s="8">
        <f t="shared" si="13"/>
        <v>43516</v>
      </c>
    </row>
    <row r="840" spans="1:18" x14ac:dyDescent="0.35">
      <c r="A840" t="s">
        <v>1095</v>
      </c>
      <c r="B840" t="s">
        <v>37</v>
      </c>
      <c r="C840" t="s">
        <v>38</v>
      </c>
      <c r="D840" t="s">
        <v>20</v>
      </c>
      <c r="E840" t="s">
        <v>42</v>
      </c>
      <c r="F840" t="s">
        <v>61</v>
      </c>
      <c r="G840">
        <v>72.27</v>
      </c>
      <c r="H840">
        <v>9</v>
      </c>
      <c r="I840">
        <v>32.520000000000003</v>
      </c>
      <c r="J840">
        <v>682.95</v>
      </c>
      <c r="K840" t="s">
        <v>336</v>
      </c>
      <c r="L840" t="s">
        <v>119</v>
      </c>
      <c r="M840" t="s">
        <v>25</v>
      </c>
      <c r="N840">
        <v>650.42999999999995</v>
      </c>
      <c r="O840">
        <v>4.7618999999999998</v>
      </c>
      <c r="P840">
        <v>32.520000000000003</v>
      </c>
      <c r="Q840">
        <v>5.8</v>
      </c>
      <c r="R840" s="8">
        <f t="shared" si="13"/>
        <v>43534</v>
      </c>
    </row>
    <row r="841" spans="1:18" x14ac:dyDescent="0.35">
      <c r="A841" t="s">
        <v>1096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>
        <v>61.54</v>
      </c>
      <c r="H841">
        <v>6</v>
      </c>
      <c r="I841">
        <v>18.46</v>
      </c>
      <c r="J841">
        <v>387.7</v>
      </c>
      <c r="K841" t="s">
        <v>58</v>
      </c>
      <c r="L841" t="s">
        <v>326</v>
      </c>
      <c r="M841" t="s">
        <v>45</v>
      </c>
      <c r="N841">
        <v>369.24</v>
      </c>
      <c r="O841">
        <v>4.7618999999999998</v>
      </c>
      <c r="P841">
        <v>18.46</v>
      </c>
      <c r="Q841">
        <v>9.6</v>
      </c>
      <c r="R841" s="8">
        <f t="shared" si="13"/>
        <v>43484</v>
      </c>
    </row>
    <row r="842" spans="1:18" x14ac:dyDescent="0.35">
      <c r="A842" t="s">
        <v>1097</v>
      </c>
      <c r="B842" t="s">
        <v>18</v>
      </c>
      <c r="C842" t="s">
        <v>19</v>
      </c>
      <c r="D842" t="s">
        <v>27</v>
      </c>
      <c r="E842" t="s">
        <v>21</v>
      </c>
      <c r="F842" t="s">
        <v>54</v>
      </c>
      <c r="G842">
        <v>83.48</v>
      </c>
      <c r="H842">
        <v>1</v>
      </c>
      <c r="I842">
        <v>4.17</v>
      </c>
      <c r="J842">
        <v>87.65</v>
      </c>
      <c r="K842" t="s">
        <v>405</v>
      </c>
      <c r="L842" t="s">
        <v>342</v>
      </c>
      <c r="M842" t="s">
        <v>35</v>
      </c>
      <c r="N842">
        <v>83.48</v>
      </c>
      <c r="O842">
        <v>4.7618999999999998</v>
      </c>
      <c r="P842">
        <v>4.17</v>
      </c>
      <c r="Q842">
        <v>7.1</v>
      </c>
      <c r="R842" s="8">
        <f t="shared" si="13"/>
        <v>43478</v>
      </c>
    </row>
    <row r="843" spans="1:18" x14ac:dyDescent="0.35">
      <c r="A843" t="s">
        <v>1098</v>
      </c>
      <c r="B843" t="s">
        <v>37</v>
      </c>
      <c r="C843" t="s">
        <v>38</v>
      </c>
      <c r="D843" t="s">
        <v>27</v>
      </c>
      <c r="E843" t="s">
        <v>21</v>
      </c>
      <c r="F843" t="s">
        <v>54</v>
      </c>
      <c r="G843">
        <v>43.72</v>
      </c>
      <c r="H843">
        <v>3</v>
      </c>
      <c r="I843">
        <v>6.56</v>
      </c>
      <c r="J843">
        <v>137.72</v>
      </c>
      <c r="K843" t="s">
        <v>133</v>
      </c>
      <c r="L843" t="s">
        <v>176</v>
      </c>
      <c r="M843" t="s">
        <v>25</v>
      </c>
      <c r="N843">
        <v>131.16</v>
      </c>
      <c r="O843">
        <v>4.7618999999999998</v>
      </c>
      <c r="P843">
        <v>6.56</v>
      </c>
      <c r="Q843">
        <v>9.6999999999999993</v>
      </c>
      <c r="R843" s="8">
        <f t="shared" si="13"/>
        <v>43491</v>
      </c>
    </row>
    <row r="844" spans="1:18" x14ac:dyDescent="0.35">
      <c r="A844" t="s">
        <v>1099</v>
      </c>
      <c r="B844" t="s">
        <v>18</v>
      </c>
      <c r="C844" t="s">
        <v>19</v>
      </c>
      <c r="D844" t="s">
        <v>20</v>
      </c>
      <c r="E844" t="s">
        <v>21</v>
      </c>
      <c r="F844" t="s">
        <v>54</v>
      </c>
      <c r="G844">
        <v>15.31</v>
      </c>
      <c r="H844">
        <v>3</v>
      </c>
      <c r="I844">
        <v>2.2999999999999998</v>
      </c>
      <c r="J844">
        <v>48.23</v>
      </c>
      <c r="K844" t="s">
        <v>87</v>
      </c>
      <c r="L844" t="s">
        <v>368</v>
      </c>
      <c r="M844" t="s">
        <v>35</v>
      </c>
      <c r="N844">
        <v>45.93</v>
      </c>
      <c r="O844">
        <v>4.7618999999999998</v>
      </c>
      <c r="P844">
        <v>2.2999999999999998</v>
      </c>
      <c r="Q844">
        <v>7.8</v>
      </c>
      <c r="R844" s="8">
        <f t="shared" si="13"/>
        <v>43490</v>
      </c>
    </row>
    <row r="845" spans="1:18" x14ac:dyDescent="0.35">
      <c r="A845" t="s">
        <v>1100</v>
      </c>
      <c r="B845" t="s">
        <v>68</v>
      </c>
      <c r="C845" t="s">
        <v>69</v>
      </c>
      <c r="D845" t="s">
        <v>20</v>
      </c>
      <c r="E845" t="s">
        <v>21</v>
      </c>
      <c r="F845" t="s">
        <v>61</v>
      </c>
      <c r="G845">
        <v>17.71</v>
      </c>
      <c r="H845">
        <v>2</v>
      </c>
      <c r="I845">
        <v>1.77</v>
      </c>
      <c r="J845">
        <v>37.19</v>
      </c>
      <c r="K845" t="s">
        <v>136</v>
      </c>
      <c r="L845" t="s">
        <v>382</v>
      </c>
      <c r="M845" t="s">
        <v>45</v>
      </c>
      <c r="N845">
        <v>35.42</v>
      </c>
      <c r="O845">
        <v>4.7618999999999998</v>
      </c>
      <c r="P845">
        <v>1.77</v>
      </c>
      <c r="Q845">
        <v>7.5</v>
      </c>
      <c r="R845" s="8">
        <f t="shared" si="13"/>
        <v>43501</v>
      </c>
    </row>
    <row r="846" spans="1:18" x14ac:dyDescent="0.35">
      <c r="A846" t="s">
        <v>1101</v>
      </c>
      <c r="B846" t="s">
        <v>37</v>
      </c>
      <c r="C846" t="s">
        <v>38</v>
      </c>
      <c r="D846" t="s">
        <v>20</v>
      </c>
      <c r="E846" t="s">
        <v>21</v>
      </c>
      <c r="F846" t="s">
        <v>28</v>
      </c>
      <c r="G846">
        <v>33.950000000000003</v>
      </c>
      <c r="H846">
        <v>1</v>
      </c>
      <c r="I846">
        <v>1.7</v>
      </c>
      <c r="J846">
        <v>35.65</v>
      </c>
      <c r="K846" t="s">
        <v>109</v>
      </c>
      <c r="L846" t="s">
        <v>30</v>
      </c>
      <c r="M846" t="s">
        <v>45</v>
      </c>
      <c r="N846">
        <v>33.950000000000003</v>
      </c>
      <c r="O846">
        <v>4.7618999999999998</v>
      </c>
      <c r="P846">
        <v>1.7</v>
      </c>
      <c r="Q846">
        <v>5.3</v>
      </c>
      <c r="R846" s="8">
        <f t="shared" si="13"/>
        <v>43551</v>
      </c>
    </row>
    <row r="847" spans="1:18" x14ac:dyDescent="0.35">
      <c r="A847" t="s">
        <v>1102</v>
      </c>
      <c r="B847" t="s">
        <v>68</v>
      </c>
      <c r="C847" t="s">
        <v>69</v>
      </c>
      <c r="D847" t="s">
        <v>27</v>
      </c>
      <c r="E847" t="s">
        <v>42</v>
      </c>
      <c r="F847" t="s">
        <v>32</v>
      </c>
      <c r="G847">
        <v>52.59</v>
      </c>
      <c r="H847">
        <v>6</v>
      </c>
      <c r="I847">
        <v>15.78</v>
      </c>
      <c r="J847">
        <v>331.32</v>
      </c>
      <c r="K847" t="s">
        <v>39</v>
      </c>
      <c r="L847" t="s">
        <v>34</v>
      </c>
      <c r="M847" t="s">
        <v>35</v>
      </c>
      <c r="N847">
        <v>315.54000000000002</v>
      </c>
      <c r="O847">
        <v>4.7618999999999998</v>
      </c>
      <c r="P847">
        <v>15.78</v>
      </c>
      <c r="Q847">
        <v>8.1</v>
      </c>
      <c r="R847" s="8">
        <f t="shared" si="13"/>
        <v>43543</v>
      </c>
    </row>
    <row r="848" spans="1:18" x14ac:dyDescent="0.35">
      <c r="A848" t="s">
        <v>1103</v>
      </c>
      <c r="B848" t="s">
        <v>37</v>
      </c>
      <c r="C848" t="s">
        <v>38</v>
      </c>
      <c r="D848" t="s">
        <v>20</v>
      </c>
      <c r="E848" t="s">
        <v>42</v>
      </c>
      <c r="F848" t="s">
        <v>22</v>
      </c>
      <c r="G848">
        <v>45.86</v>
      </c>
      <c r="H848">
        <v>10</v>
      </c>
      <c r="I848">
        <v>22.93</v>
      </c>
      <c r="J848">
        <v>481.53</v>
      </c>
      <c r="K848" t="s">
        <v>90</v>
      </c>
      <c r="L848" t="s">
        <v>485</v>
      </c>
      <c r="M848" t="s">
        <v>45</v>
      </c>
      <c r="N848">
        <v>458.6</v>
      </c>
      <c r="O848">
        <v>4.7618999999999998</v>
      </c>
      <c r="P848">
        <v>22.93</v>
      </c>
      <c r="Q848">
        <v>4</v>
      </c>
      <c r="R848" s="8">
        <f t="shared" si="13"/>
        <v>43473</v>
      </c>
    </row>
    <row r="849" spans="1:18" x14ac:dyDescent="0.35">
      <c r="A849" t="s">
        <v>1104</v>
      </c>
      <c r="B849" t="s">
        <v>18</v>
      </c>
      <c r="C849" t="s">
        <v>19</v>
      </c>
      <c r="D849" t="s">
        <v>27</v>
      </c>
      <c r="E849" t="s">
        <v>21</v>
      </c>
      <c r="F849" t="s">
        <v>28</v>
      </c>
      <c r="G849">
        <v>64.17</v>
      </c>
      <c r="H849">
        <v>9</v>
      </c>
      <c r="I849">
        <v>28.88</v>
      </c>
      <c r="J849">
        <v>606.41</v>
      </c>
      <c r="K849" t="s">
        <v>136</v>
      </c>
      <c r="L849" t="s">
        <v>197</v>
      </c>
      <c r="M849" t="s">
        <v>35</v>
      </c>
      <c r="N849">
        <v>577.53</v>
      </c>
      <c r="O849">
        <v>4.7618999999999998</v>
      </c>
      <c r="P849">
        <v>28.88</v>
      </c>
      <c r="Q849">
        <v>7.7</v>
      </c>
      <c r="R849" s="8">
        <f t="shared" si="13"/>
        <v>43501</v>
      </c>
    </row>
    <row r="850" spans="1:18" x14ac:dyDescent="0.35">
      <c r="A850" t="s">
        <v>1105</v>
      </c>
      <c r="B850" t="s">
        <v>37</v>
      </c>
      <c r="C850" t="s">
        <v>38</v>
      </c>
      <c r="D850" t="s">
        <v>27</v>
      </c>
      <c r="E850" t="s">
        <v>21</v>
      </c>
      <c r="F850" t="s">
        <v>28</v>
      </c>
      <c r="G850">
        <v>98.76</v>
      </c>
      <c r="H850">
        <v>6</v>
      </c>
      <c r="I850">
        <v>29.63</v>
      </c>
      <c r="J850">
        <v>622.19000000000005</v>
      </c>
      <c r="K850" t="s">
        <v>170</v>
      </c>
      <c r="L850" t="s">
        <v>282</v>
      </c>
      <c r="M850" t="s">
        <v>45</v>
      </c>
      <c r="N850">
        <v>592.55999999999995</v>
      </c>
      <c r="O850">
        <v>4.7618999999999998</v>
      </c>
      <c r="P850">
        <v>29.63</v>
      </c>
      <c r="Q850">
        <v>9.8000000000000007</v>
      </c>
      <c r="R850" s="8">
        <f t="shared" si="13"/>
        <v>43468</v>
      </c>
    </row>
    <row r="851" spans="1:18" x14ac:dyDescent="0.35">
      <c r="A851" t="s">
        <v>1106</v>
      </c>
      <c r="B851" t="s">
        <v>37</v>
      </c>
      <c r="C851" t="s">
        <v>38</v>
      </c>
      <c r="D851" t="s">
        <v>27</v>
      </c>
      <c r="E851" t="s">
        <v>21</v>
      </c>
      <c r="F851" t="s">
        <v>50</v>
      </c>
      <c r="G851">
        <v>53.61</v>
      </c>
      <c r="H851">
        <v>10</v>
      </c>
      <c r="I851">
        <v>26.81</v>
      </c>
      <c r="J851">
        <v>562.91</v>
      </c>
      <c r="K851" t="s">
        <v>107</v>
      </c>
      <c r="L851" t="s">
        <v>466</v>
      </c>
      <c r="M851" t="s">
        <v>35</v>
      </c>
      <c r="N851">
        <v>536.1</v>
      </c>
      <c r="O851">
        <v>4.7618999999999998</v>
      </c>
      <c r="P851">
        <v>26.81</v>
      </c>
      <c r="Q851">
        <v>9.9</v>
      </c>
      <c r="R851" s="8">
        <f t="shared" si="13"/>
        <v>43476</v>
      </c>
    </row>
    <row r="852" spans="1:18" x14ac:dyDescent="0.35">
      <c r="A852" t="s">
        <v>1107</v>
      </c>
      <c r="B852" t="s">
        <v>18</v>
      </c>
      <c r="C852" t="s">
        <v>19</v>
      </c>
      <c r="D852" t="s">
        <v>20</v>
      </c>
      <c r="E852" t="s">
        <v>42</v>
      </c>
      <c r="F852" t="s">
        <v>61</v>
      </c>
      <c r="G852">
        <v>64.650000000000006</v>
      </c>
      <c r="H852">
        <v>3</v>
      </c>
      <c r="I852">
        <v>9.6999999999999993</v>
      </c>
      <c r="J852">
        <v>203.65</v>
      </c>
      <c r="K852" t="s">
        <v>339</v>
      </c>
      <c r="L852" t="s">
        <v>435</v>
      </c>
      <c r="M852" t="s">
        <v>25</v>
      </c>
      <c r="N852">
        <v>193.95</v>
      </c>
      <c r="O852">
        <v>4.7618999999999998</v>
      </c>
      <c r="P852">
        <v>9.6999999999999993</v>
      </c>
      <c r="Q852">
        <v>4.2</v>
      </c>
      <c r="R852" s="8">
        <f t="shared" si="13"/>
        <v>43532</v>
      </c>
    </row>
    <row r="853" spans="1:18" x14ac:dyDescent="0.35">
      <c r="A853" t="s">
        <v>1108</v>
      </c>
      <c r="B853" t="s">
        <v>68</v>
      </c>
      <c r="C853" t="s">
        <v>69</v>
      </c>
      <c r="D853" t="s">
        <v>27</v>
      </c>
      <c r="E853" t="s">
        <v>42</v>
      </c>
      <c r="F853" t="s">
        <v>54</v>
      </c>
      <c r="G853">
        <v>90.68</v>
      </c>
      <c r="H853">
        <v>2</v>
      </c>
      <c r="I853">
        <v>9.07</v>
      </c>
      <c r="J853">
        <v>190.43</v>
      </c>
      <c r="K853" t="s">
        <v>412</v>
      </c>
      <c r="L853" t="s">
        <v>289</v>
      </c>
      <c r="M853" t="s">
        <v>45</v>
      </c>
      <c r="N853">
        <v>181.36</v>
      </c>
      <c r="O853">
        <v>4.7618999999999998</v>
      </c>
      <c r="P853">
        <v>9.07</v>
      </c>
      <c r="Q853">
        <v>5.5</v>
      </c>
      <c r="R853" s="8">
        <f t="shared" si="13"/>
        <v>43527</v>
      </c>
    </row>
    <row r="854" spans="1:18" x14ac:dyDescent="0.35">
      <c r="A854" t="s">
        <v>1109</v>
      </c>
      <c r="B854" t="s">
        <v>18</v>
      </c>
      <c r="C854" t="s">
        <v>19</v>
      </c>
      <c r="D854" t="s">
        <v>20</v>
      </c>
      <c r="E854" t="s">
        <v>21</v>
      </c>
      <c r="F854" t="s">
        <v>32</v>
      </c>
      <c r="G854">
        <v>99.4</v>
      </c>
      <c r="H854">
        <v>1</v>
      </c>
      <c r="I854">
        <v>4.97</v>
      </c>
      <c r="J854">
        <v>104.37</v>
      </c>
      <c r="K854" t="s">
        <v>33</v>
      </c>
      <c r="L854" t="s">
        <v>466</v>
      </c>
      <c r="M854" t="s">
        <v>35</v>
      </c>
      <c r="N854">
        <v>99.4</v>
      </c>
      <c r="O854">
        <v>4.7618999999999998</v>
      </c>
      <c r="P854">
        <v>4.97</v>
      </c>
      <c r="Q854">
        <v>5.3</v>
      </c>
      <c r="R854" s="8">
        <f t="shared" si="13"/>
        <v>43486</v>
      </c>
    </row>
    <row r="855" spans="1:18" x14ac:dyDescent="0.35">
      <c r="A855" t="s">
        <v>1110</v>
      </c>
      <c r="B855" t="s">
        <v>18</v>
      </c>
      <c r="C855" t="s">
        <v>19</v>
      </c>
      <c r="D855" t="s">
        <v>27</v>
      </c>
      <c r="E855" t="s">
        <v>21</v>
      </c>
      <c r="F855" t="s">
        <v>22</v>
      </c>
      <c r="G855">
        <v>22.22</v>
      </c>
      <c r="H855">
        <v>9</v>
      </c>
      <c r="I855">
        <v>10</v>
      </c>
      <c r="J855">
        <v>209.98</v>
      </c>
      <c r="K855" t="s">
        <v>47</v>
      </c>
      <c r="L855" t="s">
        <v>63</v>
      </c>
      <c r="M855" t="s">
        <v>25</v>
      </c>
      <c r="N855">
        <v>199.98</v>
      </c>
      <c r="O855">
        <v>4.7618999999999998</v>
      </c>
      <c r="P855">
        <v>10</v>
      </c>
      <c r="Q855">
        <v>6</v>
      </c>
      <c r="R855" s="8">
        <f t="shared" si="13"/>
        <v>43547</v>
      </c>
    </row>
    <row r="856" spans="1:18" x14ac:dyDescent="0.35">
      <c r="A856" t="s">
        <v>1111</v>
      </c>
      <c r="B856" t="s">
        <v>18</v>
      </c>
      <c r="C856" t="s">
        <v>19</v>
      </c>
      <c r="D856" t="s">
        <v>20</v>
      </c>
      <c r="E856" t="s">
        <v>42</v>
      </c>
      <c r="F856" t="s">
        <v>32</v>
      </c>
      <c r="G856">
        <v>91.92</v>
      </c>
      <c r="H856">
        <v>7</v>
      </c>
      <c r="I856">
        <v>32.17</v>
      </c>
      <c r="J856">
        <v>675.61</v>
      </c>
      <c r="K856" t="s">
        <v>276</v>
      </c>
      <c r="L856" t="s">
        <v>289</v>
      </c>
      <c r="M856" t="s">
        <v>35</v>
      </c>
      <c r="N856">
        <v>643.44000000000005</v>
      </c>
      <c r="O856">
        <v>4.7618999999999998</v>
      </c>
      <c r="P856">
        <v>32.17</v>
      </c>
      <c r="Q856">
        <v>8.9</v>
      </c>
      <c r="R856" s="8">
        <f t="shared" si="13"/>
        <v>43549</v>
      </c>
    </row>
    <row r="857" spans="1:18" x14ac:dyDescent="0.35">
      <c r="A857" t="s">
        <v>1112</v>
      </c>
      <c r="B857" t="s">
        <v>37</v>
      </c>
      <c r="C857" t="s">
        <v>38</v>
      </c>
      <c r="D857" t="s">
        <v>20</v>
      </c>
      <c r="E857" t="s">
        <v>42</v>
      </c>
      <c r="F857" t="s">
        <v>28</v>
      </c>
      <c r="G857">
        <v>20.02</v>
      </c>
      <c r="H857">
        <v>6</v>
      </c>
      <c r="I857">
        <v>6.01</v>
      </c>
      <c r="J857">
        <v>126.13</v>
      </c>
      <c r="K857" t="s">
        <v>82</v>
      </c>
      <c r="L857" t="s">
        <v>44</v>
      </c>
      <c r="M857" t="s">
        <v>45</v>
      </c>
      <c r="N857">
        <v>120.12</v>
      </c>
      <c r="O857">
        <v>4.7618999999999998</v>
      </c>
      <c r="P857">
        <v>6.01</v>
      </c>
      <c r="Q857">
        <v>7.4</v>
      </c>
      <c r="R857" s="8">
        <f t="shared" si="13"/>
        <v>43541</v>
      </c>
    </row>
    <row r="858" spans="1:18" x14ac:dyDescent="0.35">
      <c r="A858" t="s">
        <v>1113</v>
      </c>
      <c r="B858" t="s">
        <v>37</v>
      </c>
      <c r="C858" t="s">
        <v>38</v>
      </c>
      <c r="D858" t="s">
        <v>27</v>
      </c>
      <c r="E858" t="s">
        <v>21</v>
      </c>
      <c r="F858" t="s">
        <v>61</v>
      </c>
      <c r="G858">
        <v>15.57</v>
      </c>
      <c r="H858">
        <v>9</v>
      </c>
      <c r="I858">
        <v>7.01</v>
      </c>
      <c r="J858">
        <v>147.13999999999999</v>
      </c>
      <c r="K858" t="s">
        <v>87</v>
      </c>
      <c r="L858" t="s">
        <v>168</v>
      </c>
      <c r="M858" t="s">
        <v>35</v>
      </c>
      <c r="N858">
        <v>140.13</v>
      </c>
      <c r="O858">
        <v>4.7618999999999998</v>
      </c>
      <c r="P858">
        <v>7.01</v>
      </c>
      <c r="Q858">
        <v>8.6</v>
      </c>
      <c r="R858" s="8">
        <f t="shared" si="13"/>
        <v>43490</v>
      </c>
    </row>
    <row r="859" spans="1:18" x14ac:dyDescent="0.35">
      <c r="A859" t="s">
        <v>1114</v>
      </c>
      <c r="B859" t="s">
        <v>18</v>
      </c>
      <c r="C859" t="s">
        <v>19</v>
      </c>
      <c r="D859" t="s">
        <v>20</v>
      </c>
      <c r="E859" t="s">
        <v>21</v>
      </c>
      <c r="F859" t="s">
        <v>28</v>
      </c>
      <c r="G859">
        <v>45.58</v>
      </c>
      <c r="H859">
        <v>9</v>
      </c>
      <c r="I859">
        <v>20.51</v>
      </c>
      <c r="J859">
        <v>430.73</v>
      </c>
      <c r="K859" t="s">
        <v>202</v>
      </c>
      <c r="L859" t="s">
        <v>48</v>
      </c>
      <c r="M859" t="s">
        <v>35</v>
      </c>
      <c r="N859">
        <v>410.22</v>
      </c>
      <c r="O859">
        <v>4.7618999999999998</v>
      </c>
      <c r="P859">
        <v>20.51</v>
      </c>
      <c r="Q859">
        <v>9</v>
      </c>
      <c r="R859" s="8">
        <f t="shared" si="13"/>
        <v>43524</v>
      </c>
    </row>
    <row r="860" spans="1:18" x14ac:dyDescent="0.35">
      <c r="A860" t="s">
        <v>1115</v>
      </c>
      <c r="B860" t="s">
        <v>18</v>
      </c>
      <c r="C860" t="s">
        <v>19</v>
      </c>
      <c r="D860" t="s">
        <v>27</v>
      </c>
      <c r="E860" t="s">
        <v>21</v>
      </c>
      <c r="F860" t="s">
        <v>50</v>
      </c>
      <c r="G860">
        <v>35.51</v>
      </c>
      <c r="H860">
        <v>1</v>
      </c>
      <c r="I860">
        <v>1.78</v>
      </c>
      <c r="J860">
        <v>37.29</v>
      </c>
      <c r="K860" t="s">
        <v>65</v>
      </c>
      <c r="L860" t="s">
        <v>846</v>
      </c>
      <c r="M860" t="s">
        <v>25</v>
      </c>
      <c r="N860">
        <v>35.51</v>
      </c>
      <c r="O860">
        <v>4.7618999999999998</v>
      </c>
      <c r="P860">
        <v>1.78</v>
      </c>
      <c r="Q860">
        <v>9.9</v>
      </c>
      <c r="R860" s="8">
        <f t="shared" si="13"/>
        <v>43542</v>
      </c>
    </row>
    <row r="861" spans="1:18" x14ac:dyDescent="0.35">
      <c r="A861" t="s">
        <v>1116</v>
      </c>
      <c r="B861" t="s">
        <v>37</v>
      </c>
      <c r="C861" t="s">
        <v>38</v>
      </c>
      <c r="D861" t="s">
        <v>27</v>
      </c>
      <c r="E861" t="s">
        <v>21</v>
      </c>
      <c r="F861" t="s">
        <v>32</v>
      </c>
      <c r="G861">
        <v>36.229999999999997</v>
      </c>
      <c r="H861">
        <v>7</v>
      </c>
      <c r="I861">
        <v>12.68</v>
      </c>
      <c r="J861">
        <v>266.29000000000002</v>
      </c>
      <c r="K861" t="s">
        <v>90</v>
      </c>
      <c r="L861" t="s">
        <v>48</v>
      </c>
      <c r="M861" t="s">
        <v>25</v>
      </c>
      <c r="N861">
        <v>253.61</v>
      </c>
      <c r="O861">
        <v>4.7618999999999998</v>
      </c>
      <c r="P861">
        <v>12.68</v>
      </c>
      <c r="Q861">
        <v>5.3</v>
      </c>
      <c r="R861" s="8">
        <f t="shared" si="13"/>
        <v>43473</v>
      </c>
    </row>
    <row r="862" spans="1:18" x14ac:dyDescent="0.35">
      <c r="A862" t="s">
        <v>1117</v>
      </c>
      <c r="B862" t="s">
        <v>68</v>
      </c>
      <c r="C862" t="s">
        <v>69</v>
      </c>
      <c r="D862" t="s">
        <v>20</v>
      </c>
      <c r="E862" t="s">
        <v>21</v>
      </c>
      <c r="F862" t="s">
        <v>32</v>
      </c>
      <c r="G862">
        <v>75.47</v>
      </c>
      <c r="H862">
        <v>5</v>
      </c>
      <c r="I862">
        <v>18.87</v>
      </c>
      <c r="J862">
        <v>396.22</v>
      </c>
      <c r="K862" t="s">
        <v>78</v>
      </c>
      <c r="L862" t="s">
        <v>154</v>
      </c>
      <c r="M862" t="s">
        <v>25</v>
      </c>
      <c r="N862">
        <v>377.35</v>
      </c>
      <c r="O862">
        <v>4.7618999999999998</v>
      </c>
      <c r="P862">
        <v>18.87</v>
      </c>
      <c r="Q862">
        <v>6.4</v>
      </c>
      <c r="R862" s="8">
        <f t="shared" si="13"/>
        <v>43550</v>
      </c>
    </row>
    <row r="863" spans="1:18" x14ac:dyDescent="0.35">
      <c r="A863" t="s">
        <v>1118</v>
      </c>
      <c r="B863" t="s">
        <v>18</v>
      </c>
      <c r="C863" t="s">
        <v>19</v>
      </c>
      <c r="D863" t="s">
        <v>27</v>
      </c>
      <c r="E863" t="s">
        <v>42</v>
      </c>
      <c r="F863" t="s">
        <v>32</v>
      </c>
      <c r="G863">
        <v>45.2</v>
      </c>
      <c r="H863">
        <v>9</v>
      </c>
      <c r="I863">
        <v>20.34</v>
      </c>
      <c r="J863">
        <v>427.14</v>
      </c>
      <c r="K863" t="s">
        <v>216</v>
      </c>
      <c r="L863" t="s">
        <v>326</v>
      </c>
      <c r="M863" t="s">
        <v>45</v>
      </c>
      <c r="N863">
        <v>406.8</v>
      </c>
      <c r="O863">
        <v>4.7618999999999998</v>
      </c>
      <c r="P863">
        <v>20.34</v>
      </c>
      <c r="Q863">
        <v>8.1999999999999993</v>
      </c>
      <c r="R863" s="8">
        <f t="shared" si="13"/>
        <v>43502</v>
      </c>
    </row>
    <row r="864" spans="1:18" x14ac:dyDescent="0.35">
      <c r="A864" t="s">
        <v>1119</v>
      </c>
      <c r="B864" t="s">
        <v>37</v>
      </c>
      <c r="C864" t="s">
        <v>38</v>
      </c>
      <c r="D864" t="s">
        <v>20</v>
      </c>
      <c r="E864" t="s">
        <v>21</v>
      </c>
      <c r="F864" t="s">
        <v>61</v>
      </c>
      <c r="G864">
        <v>77.7</v>
      </c>
      <c r="H864">
        <v>10</v>
      </c>
      <c r="I864">
        <v>38.85</v>
      </c>
      <c r="J864">
        <v>815.85</v>
      </c>
      <c r="K864" t="s">
        <v>387</v>
      </c>
      <c r="L864" t="s">
        <v>94</v>
      </c>
      <c r="M864" t="s">
        <v>25</v>
      </c>
      <c r="N864">
        <v>777</v>
      </c>
      <c r="O864">
        <v>4.7618999999999998</v>
      </c>
      <c r="P864">
        <v>38.85</v>
      </c>
      <c r="Q864">
        <v>5</v>
      </c>
      <c r="R864" s="8">
        <f t="shared" si="13"/>
        <v>43472</v>
      </c>
    </row>
    <row r="865" spans="1:18" x14ac:dyDescent="0.35">
      <c r="A865" t="s">
        <v>1120</v>
      </c>
      <c r="B865" t="s">
        <v>37</v>
      </c>
      <c r="C865" t="s">
        <v>38</v>
      </c>
      <c r="D865" t="s">
        <v>27</v>
      </c>
      <c r="E865" t="s">
        <v>42</v>
      </c>
      <c r="F865" t="s">
        <v>54</v>
      </c>
      <c r="G865">
        <v>28.88</v>
      </c>
      <c r="H865">
        <v>4</v>
      </c>
      <c r="I865">
        <v>5.78</v>
      </c>
      <c r="J865">
        <v>121.3</v>
      </c>
      <c r="K865" t="s">
        <v>276</v>
      </c>
      <c r="L865" t="s">
        <v>284</v>
      </c>
      <c r="M865" t="s">
        <v>25</v>
      </c>
      <c r="N865">
        <v>115.52</v>
      </c>
      <c r="O865">
        <v>4.7618999999999998</v>
      </c>
      <c r="P865">
        <v>5.78</v>
      </c>
      <c r="Q865">
        <v>9.1</v>
      </c>
      <c r="R865" s="8">
        <f t="shared" si="13"/>
        <v>43549</v>
      </c>
    </row>
    <row r="866" spans="1:18" x14ac:dyDescent="0.35">
      <c r="A866" t="s">
        <v>1121</v>
      </c>
      <c r="B866" t="s">
        <v>18</v>
      </c>
      <c r="C866" t="s">
        <v>19</v>
      </c>
      <c r="D866" t="s">
        <v>20</v>
      </c>
      <c r="E866" t="s">
        <v>42</v>
      </c>
      <c r="F866" t="s">
        <v>32</v>
      </c>
      <c r="G866">
        <v>71.150000000000006</v>
      </c>
      <c r="H866">
        <v>3</v>
      </c>
      <c r="I866">
        <v>10.67</v>
      </c>
      <c r="J866">
        <v>224.12</v>
      </c>
      <c r="K866" t="s">
        <v>90</v>
      </c>
      <c r="L866" t="s">
        <v>382</v>
      </c>
      <c r="M866" t="s">
        <v>35</v>
      </c>
      <c r="N866">
        <v>213.45</v>
      </c>
      <c r="O866">
        <v>4.7618999999999998</v>
      </c>
      <c r="P866">
        <v>10.67</v>
      </c>
      <c r="Q866">
        <v>5.0999999999999996</v>
      </c>
      <c r="R866" s="8">
        <f t="shared" si="13"/>
        <v>43473</v>
      </c>
    </row>
    <row r="867" spans="1:18" x14ac:dyDescent="0.35">
      <c r="A867" t="s">
        <v>1122</v>
      </c>
      <c r="B867" t="s">
        <v>68</v>
      </c>
      <c r="C867" t="s">
        <v>69</v>
      </c>
      <c r="D867" t="s">
        <v>27</v>
      </c>
      <c r="E867" t="s">
        <v>42</v>
      </c>
      <c r="F867" t="s">
        <v>54</v>
      </c>
      <c r="G867">
        <v>66.430000000000007</v>
      </c>
      <c r="H867">
        <v>7</v>
      </c>
      <c r="I867">
        <v>23.25</v>
      </c>
      <c r="J867">
        <v>488.26</v>
      </c>
      <c r="K867" t="s">
        <v>182</v>
      </c>
      <c r="L867" t="s">
        <v>122</v>
      </c>
      <c r="M867" t="s">
        <v>45</v>
      </c>
      <c r="N867">
        <v>465.01</v>
      </c>
      <c r="O867">
        <v>4.7618999999999998</v>
      </c>
      <c r="P867">
        <v>23.25</v>
      </c>
      <c r="Q867">
        <v>6.4</v>
      </c>
      <c r="R867" s="8">
        <f t="shared" si="13"/>
        <v>43497</v>
      </c>
    </row>
    <row r="868" spans="1:18" x14ac:dyDescent="0.35">
      <c r="A868" t="s">
        <v>1123</v>
      </c>
      <c r="B868" t="s">
        <v>18</v>
      </c>
      <c r="C868" t="s">
        <v>19</v>
      </c>
      <c r="D868" t="s">
        <v>20</v>
      </c>
      <c r="E868" t="s">
        <v>42</v>
      </c>
      <c r="F868" t="s">
        <v>22</v>
      </c>
      <c r="G868">
        <v>99.2</v>
      </c>
      <c r="H868">
        <v>2</v>
      </c>
      <c r="I868">
        <v>9.92</v>
      </c>
      <c r="J868">
        <v>208.32</v>
      </c>
      <c r="K868" t="s">
        <v>51</v>
      </c>
      <c r="L868" t="s">
        <v>119</v>
      </c>
      <c r="M868" t="s">
        <v>35</v>
      </c>
      <c r="N868">
        <v>198.4</v>
      </c>
      <c r="O868">
        <v>4.7618999999999998</v>
      </c>
      <c r="P868">
        <v>9.92</v>
      </c>
      <c r="Q868">
        <v>7.8</v>
      </c>
      <c r="R868" s="8">
        <f t="shared" si="13"/>
        <v>43525</v>
      </c>
    </row>
    <row r="869" spans="1:18" x14ac:dyDescent="0.35">
      <c r="A869" t="s">
        <v>1124</v>
      </c>
      <c r="B869" t="s">
        <v>37</v>
      </c>
      <c r="C869" t="s">
        <v>38</v>
      </c>
      <c r="D869" t="s">
        <v>20</v>
      </c>
      <c r="E869" t="s">
        <v>21</v>
      </c>
      <c r="F869" t="s">
        <v>28</v>
      </c>
      <c r="G869">
        <v>17.440000000000001</v>
      </c>
      <c r="H869">
        <v>8</v>
      </c>
      <c r="I869">
        <v>6.98</v>
      </c>
      <c r="J869">
        <v>146.5</v>
      </c>
      <c r="K869" t="s">
        <v>439</v>
      </c>
      <c r="L869" t="s">
        <v>289</v>
      </c>
      <c r="M869" t="s">
        <v>45</v>
      </c>
      <c r="N869">
        <v>139.52000000000001</v>
      </c>
      <c r="O869">
        <v>4.7618999999999998</v>
      </c>
      <c r="P869">
        <v>6.98</v>
      </c>
      <c r="Q869">
        <v>4.0999999999999996</v>
      </c>
      <c r="R869" s="8">
        <f t="shared" si="13"/>
        <v>43548</v>
      </c>
    </row>
    <row r="870" spans="1:18" x14ac:dyDescent="0.35">
      <c r="A870" t="s">
        <v>1125</v>
      </c>
      <c r="B870" t="s">
        <v>18</v>
      </c>
      <c r="C870" t="s">
        <v>19</v>
      </c>
      <c r="D870" t="s">
        <v>27</v>
      </c>
      <c r="E870" t="s">
        <v>42</v>
      </c>
      <c r="F870" t="s">
        <v>22</v>
      </c>
      <c r="G870">
        <v>77.08</v>
      </c>
      <c r="H870">
        <v>10</v>
      </c>
      <c r="I870">
        <v>38.54</v>
      </c>
      <c r="J870">
        <v>809.34</v>
      </c>
      <c r="K870" t="s">
        <v>93</v>
      </c>
      <c r="L870" t="s">
        <v>156</v>
      </c>
      <c r="M870" t="s">
        <v>25</v>
      </c>
      <c r="N870">
        <v>770.8</v>
      </c>
      <c r="O870">
        <v>4.7618999999999998</v>
      </c>
      <c r="P870">
        <v>38.54</v>
      </c>
      <c r="Q870">
        <v>8.1999999999999993</v>
      </c>
      <c r="R870" s="8">
        <f t="shared" si="13"/>
        <v>43489</v>
      </c>
    </row>
    <row r="871" spans="1:18" x14ac:dyDescent="0.35">
      <c r="A871" t="s">
        <v>1126</v>
      </c>
      <c r="B871" t="s">
        <v>18</v>
      </c>
      <c r="C871" t="s">
        <v>19</v>
      </c>
      <c r="D871" t="s">
        <v>20</v>
      </c>
      <c r="E871" t="s">
        <v>21</v>
      </c>
      <c r="F871" t="s">
        <v>61</v>
      </c>
      <c r="G871">
        <v>15.71</v>
      </c>
      <c r="H871">
        <v>9</v>
      </c>
      <c r="I871">
        <v>7.07</v>
      </c>
      <c r="J871">
        <v>148.46</v>
      </c>
      <c r="K871" t="s">
        <v>93</v>
      </c>
      <c r="L871" t="s">
        <v>91</v>
      </c>
      <c r="M871" t="s">
        <v>45</v>
      </c>
      <c r="N871">
        <v>141.38999999999999</v>
      </c>
      <c r="O871">
        <v>4.7618999999999998</v>
      </c>
      <c r="P871">
        <v>7.07</v>
      </c>
      <c r="Q871">
        <v>6.4</v>
      </c>
      <c r="R871" s="8">
        <f t="shared" si="13"/>
        <v>43489</v>
      </c>
    </row>
    <row r="872" spans="1:18" x14ac:dyDescent="0.35">
      <c r="A872" t="s">
        <v>1127</v>
      </c>
      <c r="B872" t="s">
        <v>18</v>
      </c>
      <c r="C872" t="s">
        <v>19</v>
      </c>
      <c r="D872" t="s">
        <v>27</v>
      </c>
      <c r="E872" t="s">
        <v>21</v>
      </c>
      <c r="F872" t="s">
        <v>50</v>
      </c>
      <c r="G872">
        <v>85.34</v>
      </c>
      <c r="H872">
        <v>9</v>
      </c>
      <c r="I872">
        <v>38.4</v>
      </c>
      <c r="J872">
        <v>806.46</v>
      </c>
      <c r="K872" t="s">
        <v>276</v>
      </c>
      <c r="L872" t="s">
        <v>224</v>
      </c>
      <c r="M872" t="s">
        <v>25</v>
      </c>
      <c r="N872">
        <v>768.06</v>
      </c>
      <c r="O872">
        <v>4.7618999999999998</v>
      </c>
      <c r="P872">
        <v>38.4</v>
      </c>
      <c r="Q872">
        <v>9.4</v>
      </c>
      <c r="R872" s="8">
        <f t="shared" si="13"/>
        <v>43549</v>
      </c>
    </row>
    <row r="873" spans="1:18" x14ac:dyDescent="0.35">
      <c r="A873" t="s">
        <v>1128</v>
      </c>
      <c r="B873" t="s">
        <v>18</v>
      </c>
      <c r="C873" t="s">
        <v>19</v>
      </c>
      <c r="D873" t="s">
        <v>20</v>
      </c>
      <c r="E873" t="s">
        <v>21</v>
      </c>
      <c r="F873" t="s">
        <v>50</v>
      </c>
      <c r="G873">
        <v>50.25</v>
      </c>
      <c r="H873">
        <v>6</v>
      </c>
      <c r="I873">
        <v>15.08</v>
      </c>
      <c r="J873">
        <v>316.58</v>
      </c>
      <c r="K873" t="s">
        <v>187</v>
      </c>
      <c r="L873" t="s">
        <v>664</v>
      </c>
      <c r="M873" t="s">
        <v>25</v>
      </c>
      <c r="N873">
        <v>301.5</v>
      </c>
      <c r="O873">
        <v>4.7618999999999998</v>
      </c>
      <c r="P873">
        <v>15.08</v>
      </c>
      <c r="Q873">
        <v>5.2</v>
      </c>
      <c r="R873" s="8">
        <f t="shared" si="13"/>
        <v>43481</v>
      </c>
    </row>
    <row r="874" spans="1:18" x14ac:dyDescent="0.35">
      <c r="A874" t="s">
        <v>1129</v>
      </c>
      <c r="B874" t="s">
        <v>68</v>
      </c>
      <c r="C874" t="s">
        <v>69</v>
      </c>
      <c r="D874" t="s">
        <v>27</v>
      </c>
      <c r="E874" t="s">
        <v>21</v>
      </c>
      <c r="F874" t="s">
        <v>28</v>
      </c>
      <c r="G874">
        <v>98.19</v>
      </c>
      <c r="H874">
        <v>9</v>
      </c>
      <c r="I874">
        <v>44.19</v>
      </c>
      <c r="J874">
        <v>927.9</v>
      </c>
      <c r="K874" t="s">
        <v>113</v>
      </c>
      <c r="L874" t="s">
        <v>391</v>
      </c>
      <c r="M874" t="s">
        <v>45</v>
      </c>
      <c r="N874">
        <v>883.71</v>
      </c>
      <c r="O874">
        <v>4.7618999999999998</v>
      </c>
      <c r="P874">
        <v>44.19</v>
      </c>
      <c r="Q874">
        <v>6.5</v>
      </c>
      <c r="R874" s="8">
        <f t="shared" ref="R874:R937" si="14">DATEVALUE(K874)</f>
        <v>43504</v>
      </c>
    </row>
    <row r="875" spans="1:18" x14ac:dyDescent="0.35">
      <c r="A875" t="s">
        <v>1130</v>
      </c>
      <c r="B875" t="s">
        <v>68</v>
      </c>
      <c r="C875" t="s">
        <v>69</v>
      </c>
      <c r="D875" t="s">
        <v>20</v>
      </c>
      <c r="E875" t="s">
        <v>42</v>
      </c>
      <c r="F875" t="s">
        <v>28</v>
      </c>
      <c r="G875">
        <v>95.16</v>
      </c>
      <c r="H875">
        <v>9</v>
      </c>
      <c r="I875">
        <v>42.82</v>
      </c>
      <c r="J875">
        <v>899.26</v>
      </c>
      <c r="K875" t="s">
        <v>269</v>
      </c>
      <c r="L875" t="s">
        <v>289</v>
      </c>
      <c r="M875" t="s">
        <v>35</v>
      </c>
      <c r="N875">
        <v>856.44</v>
      </c>
      <c r="O875">
        <v>4.7618999999999998</v>
      </c>
      <c r="P875">
        <v>42.82</v>
      </c>
      <c r="Q875">
        <v>4.8</v>
      </c>
      <c r="R875" s="8">
        <f t="shared" si="14"/>
        <v>43503</v>
      </c>
    </row>
    <row r="876" spans="1:18" x14ac:dyDescent="0.35">
      <c r="A876" t="s">
        <v>1131</v>
      </c>
      <c r="B876" t="s">
        <v>18</v>
      </c>
      <c r="C876" t="s">
        <v>19</v>
      </c>
      <c r="D876" t="s">
        <v>27</v>
      </c>
      <c r="E876" t="s">
        <v>42</v>
      </c>
      <c r="F876" t="s">
        <v>50</v>
      </c>
      <c r="G876">
        <v>58.44</v>
      </c>
      <c r="H876">
        <v>4</v>
      </c>
      <c r="I876">
        <v>11.69</v>
      </c>
      <c r="J876">
        <v>245.45</v>
      </c>
      <c r="K876" t="s">
        <v>470</v>
      </c>
      <c r="L876" t="s">
        <v>24</v>
      </c>
      <c r="M876" t="s">
        <v>45</v>
      </c>
      <c r="N876">
        <v>233.76</v>
      </c>
      <c r="O876">
        <v>4.7618999999999998</v>
      </c>
      <c r="P876">
        <v>11.69</v>
      </c>
      <c r="Q876">
        <v>5.4</v>
      </c>
      <c r="R876" s="8">
        <f t="shared" si="14"/>
        <v>43554</v>
      </c>
    </row>
    <row r="877" spans="1:18" x14ac:dyDescent="0.35">
      <c r="A877" t="s">
        <v>1132</v>
      </c>
      <c r="B877" t="s">
        <v>68</v>
      </c>
      <c r="C877" t="s">
        <v>69</v>
      </c>
      <c r="D877" t="s">
        <v>27</v>
      </c>
      <c r="E877" t="s">
        <v>21</v>
      </c>
      <c r="F877" t="s">
        <v>54</v>
      </c>
      <c r="G877">
        <v>64.19</v>
      </c>
      <c r="H877">
        <v>4</v>
      </c>
      <c r="I877">
        <v>12.84</v>
      </c>
      <c r="J877">
        <v>269.60000000000002</v>
      </c>
      <c r="K877" t="s">
        <v>82</v>
      </c>
      <c r="L877" t="s">
        <v>846</v>
      </c>
      <c r="M877" t="s">
        <v>45</v>
      </c>
      <c r="N877">
        <v>256.76</v>
      </c>
      <c r="O877">
        <v>4.7618999999999998</v>
      </c>
      <c r="P877">
        <v>12.84</v>
      </c>
      <c r="Q877">
        <v>8.4</v>
      </c>
      <c r="R877" s="8">
        <f t="shared" si="14"/>
        <v>43541</v>
      </c>
    </row>
    <row r="878" spans="1:18" x14ac:dyDescent="0.35">
      <c r="A878" t="s">
        <v>1133</v>
      </c>
      <c r="B878" t="s">
        <v>68</v>
      </c>
      <c r="C878" t="s">
        <v>69</v>
      </c>
      <c r="D878" t="s">
        <v>27</v>
      </c>
      <c r="E878" t="s">
        <v>42</v>
      </c>
      <c r="F878" t="s">
        <v>32</v>
      </c>
      <c r="G878">
        <v>68.48</v>
      </c>
      <c r="H878">
        <v>3</v>
      </c>
      <c r="I878">
        <v>10.27</v>
      </c>
      <c r="J878">
        <v>215.71</v>
      </c>
      <c r="K878" t="s">
        <v>55</v>
      </c>
      <c r="L878" t="s">
        <v>63</v>
      </c>
      <c r="M878" t="s">
        <v>35</v>
      </c>
      <c r="N878">
        <v>205.44</v>
      </c>
      <c r="O878">
        <v>4.7618999999999998</v>
      </c>
      <c r="P878">
        <v>10.27</v>
      </c>
      <c r="Q878">
        <v>8.1</v>
      </c>
      <c r="R878" s="8">
        <f t="shared" si="14"/>
        <v>43517</v>
      </c>
    </row>
    <row r="879" spans="1:18" x14ac:dyDescent="0.35">
      <c r="A879" t="s">
        <v>1134</v>
      </c>
      <c r="B879" t="s">
        <v>68</v>
      </c>
      <c r="C879" t="s">
        <v>69</v>
      </c>
      <c r="D879" t="s">
        <v>20</v>
      </c>
      <c r="E879" t="s">
        <v>21</v>
      </c>
      <c r="F879" t="s">
        <v>22</v>
      </c>
      <c r="G879">
        <v>75.94</v>
      </c>
      <c r="H879">
        <v>4</v>
      </c>
      <c r="I879">
        <v>15.19</v>
      </c>
      <c r="J879">
        <v>318.95</v>
      </c>
      <c r="K879" t="s">
        <v>320</v>
      </c>
      <c r="L879" t="s">
        <v>114</v>
      </c>
      <c r="M879" t="s">
        <v>25</v>
      </c>
      <c r="N879">
        <v>303.76</v>
      </c>
      <c r="O879">
        <v>4.7618999999999998</v>
      </c>
      <c r="P879">
        <v>15.19</v>
      </c>
      <c r="Q879">
        <v>8.9</v>
      </c>
      <c r="R879" s="8">
        <f t="shared" si="14"/>
        <v>43513</v>
      </c>
    </row>
    <row r="880" spans="1:18" x14ac:dyDescent="0.35">
      <c r="A880" t="s">
        <v>1135</v>
      </c>
      <c r="B880" t="s">
        <v>68</v>
      </c>
      <c r="C880" t="s">
        <v>69</v>
      </c>
      <c r="D880" t="s">
        <v>27</v>
      </c>
      <c r="E880" t="s">
        <v>21</v>
      </c>
      <c r="F880" t="s">
        <v>61</v>
      </c>
      <c r="G880">
        <v>99.32</v>
      </c>
      <c r="H880">
        <v>7</v>
      </c>
      <c r="I880">
        <v>34.76</v>
      </c>
      <c r="J880">
        <v>730</v>
      </c>
      <c r="K880" t="s">
        <v>425</v>
      </c>
      <c r="L880" t="s">
        <v>207</v>
      </c>
      <c r="M880" t="s">
        <v>45</v>
      </c>
      <c r="N880">
        <v>695.24</v>
      </c>
      <c r="O880">
        <v>4.7618999999999998</v>
      </c>
      <c r="P880">
        <v>34.76</v>
      </c>
      <c r="Q880">
        <v>4.5</v>
      </c>
      <c r="R880" s="8">
        <f t="shared" si="14"/>
        <v>43514</v>
      </c>
    </row>
    <row r="881" spans="1:18" x14ac:dyDescent="0.35">
      <c r="A881" t="s">
        <v>1136</v>
      </c>
      <c r="B881" t="s">
        <v>18</v>
      </c>
      <c r="C881" t="s">
        <v>19</v>
      </c>
      <c r="D881" t="s">
        <v>20</v>
      </c>
      <c r="E881" t="s">
        <v>42</v>
      </c>
      <c r="F881" t="s">
        <v>28</v>
      </c>
      <c r="G881">
        <v>39.64</v>
      </c>
      <c r="H881">
        <v>2</v>
      </c>
      <c r="I881">
        <v>3.96</v>
      </c>
      <c r="J881">
        <v>83.24</v>
      </c>
      <c r="K881" t="s">
        <v>233</v>
      </c>
      <c r="L881" t="s">
        <v>846</v>
      </c>
      <c r="M881" t="s">
        <v>45</v>
      </c>
      <c r="N881">
        <v>79.28</v>
      </c>
      <c r="O881">
        <v>4.7618999999999998</v>
      </c>
      <c r="P881">
        <v>3.96</v>
      </c>
      <c r="Q881">
        <v>9.1999999999999993</v>
      </c>
      <c r="R881" s="8">
        <f t="shared" si="14"/>
        <v>43512</v>
      </c>
    </row>
    <row r="882" spans="1:18" x14ac:dyDescent="0.35">
      <c r="A882" t="s">
        <v>1137</v>
      </c>
      <c r="B882" t="s">
        <v>37</v>
      </c>
      <c r="C882" t="s">
        <v>38</v>
      </c>
      <c r="D882" t="s">
        <v>20</v>
      </c>
      <c r="E882" t="s">
        <v>21</v>
      </c>
      <c r="F882" t="s">
        <v>32</v>
      </c>
      <c r="G882">
        <v>98.15</v>
      </c>
      <c r="H882">
        <v>4</v>
      </c>
      <c r="I882">
        <v>19.63</v>
      </c>
      <c r="J882">
        <v>412.23</v>
      </c>
      <c r="K882" t="s">
        <v>425</v>
      </c>
      <c r="L882" t="s">
        <v>88</v>
      </c>
      <c r="M882" t="s">
        <v>45</v>
      </c>
      <c r="N882">
        <v>392.6</v>
      </c>
      <c r="O882">
        <v>4.7618999999999998</v>
      </c>
      <c r="P882">
        <v>19.63</v>
      </c>
      <c r="Q882">
        <v>7.2</v>
      </c>
      <c r="R882" s="8">
        <f t="shared" si="14"/>
        <v>43514</v>
      </c>
    </row>
    <row r="883" spans="1:18" x14ac:dyDescent="0.35">
      <c r="A883" t="s">
        <v>1138</v>
      </c>
      <c r="B883" t="s">
        <v>37</v>
      </c>
      <c r="C883" t="s">
        <v>38</v>
      </c>
      <c r="D883" t="s">
        <v>27</v>
      </c>
      <c r="E883" t="s">
        <v>21</v>
      </c>
      <c r="F883" t="s">
        <v>50</v>
      </c>
      <c r="G883">
        <v>41.4</v>
      </c>
      <c r="H883">
        <v>10</v>
      </c>
      <c r="I883">
        <v>20.7</v>
      </c>
      <c r="J883">
        <v>434.7</v>
      </c>
      <c r="K883" t="s">
        <v>216</v>
      </c>
      <c r="L883" t="s">
        <v>241</v>
      </c>
      <c r="M883" t="s">
        <v>25</v>
      </c>
      <c r="N883">
        <v>414</v>
      </c>
      <c r="O883">
        <v>4.7618999999999998</v>
      </c>
      <c r="P883">
        <v>20.7</v>
      </c>
      <c r="Q883">
        <v>4.5999999999999996</v>
      </c>
      <c r="R883" s="8">
        <f t="shared" si="14"/>
        <v>43502</v>
      </c>
    </row>
    <row r="884" spans="1:18" x14ac:dyDescent="0.35">
      <c r="A884" t="s">
        <v>1139</v>
      </c>
      <c r="B884" t="s">
        <v>68</v>
      </c>
      <c r="C884" t="s">
        <v>69</v>
      </c>
      <c r="D884" t="s">
        <v>27</v>
      </c>
      <c r="E884" t="s">
        <v>42</v>
      </c>
      <c r="F884" t="s">
        <v>54</v>
      </c>
      <c r="G884">
        <v>41.07</v>
      </c>
      <c r="H884">
        <v>9</v>
      </c>
      <c r="I884">
        <v>18.48</v>
      </c>
      <c r="J884">
        <v>388.11</v>
      </c>
      <c r="K884" t="s">
        <v>116</v>
      </c>
      <c r="L884" t="s">
        <v>171</v>
      </c>
      <c r="M884" t="s">
        <v>35</v>
      </c>
      <c r="N884">
        <v>369.63</v>
      </c>
      <c r="O884">
        <v>4.7618999999999998</v>
      </c>
      <c r="P884">
        <v>18.48</v>
      </c>
      <c r="Q884">
        <v>7.6</v>
      </c>
      <c r="R884" s="8">
        <f t="shared" si="14"/>
        <v>43536</v>
      </c>
    </row>
    <row r="885" spans="1:18" x14ac:dyDescent="0.35">
      <c r="A885" t="s">
        <v>1140</v>
      </c>
      <c r="B885" t="s">
        <v>68</v>
      </c>
      <c r="C885" t="s">
        <v>69</v>
      </c>
      <c r="D885" t="s">
        <v>20</v>
      </c>
      <c r="E885" t="s">
        <v>21</v>
      </c>
      <c r="F885" t="s">
        <v>54</v>
      </c>
      <c r="G885">
        <v>44.09</v>
      </c>
      <c r="H885">
        <v>5</v>
      </c>
      <c r="I885">
        <v>11.02</v>
      </c>
      <c r="J885">
        <v>231.47</v>
      </c>
      <c r="K885" t="s">
        <v>387</v>
      </c>
      <c r="L885" t="s">
        <v>282</v>
      </c>
      <c r="M885" t="s">
        <v>25</v>
      </c>
      <c r="N885">
        <v>220.45</v>
      </c>
      <c r="O885">
        <v>4.7618999999999998</v>
      </c>
      <c r="P885">
        <v>11.02</v>
      </c>
      <c r="Q885">
        <v>8.6999999999999993</v>
      </c>
      <c r="R885" s="8">
        <f t="shared" si="14"/>
        <v>43472</v>
      </c>
    </row>
    <row r="886" spans="1:18" x14ac:dyDescent="0.35">
      <c r="A886" t="s">
        <v>1141</v>
      </c>
      <c r="B886" t="s">
        <v>18</v>
      </c>
      <c r="C886" t="s">
        <v>19</v>
      </c>
      <c r="D886" t="s">
        <v>27</v>
      </c>
      <c r="E886" t="s">
        <v>42</v>
      </c>
      <c r="F886" t="s">
        <v>54</v>
      </c>
      <c r="G886">
        <v>49.51</v>
      </c>
      <c r="H886">
        <v>6</v>
      </c>
      <c r="I886">
        <v>14.85</v>
      </c>
      <c r="J886">
        <v>311.91000000000003</v>
      </c>
      <c r="K886" t="s">
        <v>51</v>
      </c>
      <c r="L886" t="s">
        <v>241</v>
      </c>
      <c r="M886" t="s">
        <v>35</v>
      </c>
      <c r="N886">
        <v>297.06</v>
      </c>
      <c r="O886">
        <v>4.7618999999999998</v>
      </c>
      <c r="P886">
        <v>14.85</v>
      </c>
      <c r="Q886">
        <v>9.6999999999999993</v>
      </c>
      <c r="R886" s="8">
        <f t="shared" si="14"/>
        <v>43525</v>
      </c>
    </row>
    <row r="887" spans="1:18" x14ac:dyDescent="0.35">
      <c r="A887" t="s">
        <v>1142</v>
      </c>
      <c r="B887" t="s">
        <v>18</v>
      </c>
      <c r="C887" t="s">
        <v>19</v>
      </c>
      <c r="D887" t="s">
        <v>20</v>
      </c>
      <c r="E887" t="s">
        <v>42</v>
      </c>
      <c r="F887" t="s">
        <v>22</v>
      </c>
      <c r="G887">
        <v>87.21</v>
      </c>
      <c r="H887">
        <v>5</v>
      </c>
      <c r="I887">
        <v>21.8</v>
      </c>
      <c r="J887">
        <v>457.85</v>
      </c>
      <c r="K887" t="s">
        <v>130</v>
      </c>
      <c r="L887" t="s">
        <v>270</v>
      </c>
      <c r="M887" t="s">
        <v>25</v>
      </c>
      <c r="N887">
        <v>436.05</v>
      </c>
      <c r="O887">
        <v>4.7618999999999998</v>
      </c>
      <c r="P887">
        <v>21.8</v>
      </c>
      <c r="Q887">
        <v>4.5</v>
      </c>
      <c r="R887" s="8">
        <f t="shared" si="14"/>
        <v>43518</v>
      </c>
    </row>
    <row r="888" spans="1:18" x14ac:dyDescent="0.35">
      <c r="A888" t="s">
        <v>1143</v>
      </c>
      <c r="B888" t="s">
        <v>68</v>
      </c>
      <c r="C888" t="s">
        <v>69</v>
      </c>
      <c r="D888" t="s">
        <v>20</v>
      </c>
      <c r="E888" t="s">
        <v>21</v>
      </c>
      <c r="F888" t="s">
        <v>50</v>
      </c>
      <c r="G888">
        <v>15.17</v>
      </c>
      <c r="H888">
        <v>5</v>
      </c>
      <c r="I888">
        <v>3.79</v>
      </c>
      <c r="J888">
        <v>79.64</v>
      </c>
      <c r="K888" t="s">
        <v>116</v>
      </c>
      <c r="L888" t="s">
        <v>334</v>
      </c>
      <c r="M888" t="s">
        <v>35</v>
      </c>
      <c r="N888">
        <v>75.849999999999994</v>
      </c>
      <c r="O888">
        <v>4.7618999999999998</v>
      </c>
      <c r="P888">
        <v>3.79</v>
      </c>
      <c r="Q888">
        <v>8.1</v>
      </c>
      <c r="R888" s="8">
        <f t="shared" si="14"/>
        <v>43536</v>
      </c>
    </row>
    <row r="889" spans="1:18" x14ac:dyDescent="0.35">
      <c r="A889" t="s">
        <v>1144</v>
      </c>
      <c r="B889" t="s">
        <v>68</v>
      </c>
      <c r="C889" t="s">
        <v>69</v>
      </c>
      <c r="D889" t="s">
        <v>27</v>
      </c>
      <c r="E889" t="s">
        <v>42</v>
      </c>
      <c r="F889" t="s">
        <v>50</v>
      </c>
      <c r="G889">
        <v>71.66</v>
      </c>
      <c r="H889">
        <v>9</v>
      </c>
      <c r="I889">
        <v>32.25</v>
      </c>
      <c r="J889">
        <v>677.19</v>
      </c>
      <c r="K889" t="s">
        <v>187</v>
      </c>
      <c r="L889" t="s">
        <v>627</v>
      </c>
      <c r="M889" t="s">
        <v>25</v>
      </c>
      <c r="N889">
        <v>644.94000000000005</v>
      </c>
      <c r="O889">
        <v>4.7618999999999998</v>
      </c>
      <c r="P889">
        <v>32.25</v>
      </c>
      <c r="Q889">
        <v>5.0999999999999996</v>
      </c>
      <c r="R889" s="8">
        <f t="shared" si="14"/>
        <v>43481</v>
      </c>
    </row>
    <row r="890" spans="1:18" x14ac:dyDescent="0.35">
      <c r="A890" t="s">
        <v>1145</v>
      </c>
      <c r="B890" t="s">
        <v>18</v>
      </c>
      <c r="C890" t="s">
        <v>19</v>
      </c>
      <c r="D890" t="s">
        <v>20</v>
      </c>
      <c r="E890" t="s">
        <v>42</v>
      </c>
      <c r="F890" t="s">
        <v>22</v>
      </c>
      <c r="G890">
        <v>58.09</v>
      </c>
      <c r="H890">
        <v>6</v>
      </c>
      <c r="I890">
        <v>17.43</v>
      </c>
      <c r="J890">
        <v>365.97</v>
      </c>
      <c r="K890" t="s">
        <v>182</v>
      </c>
      <c r="L890" t="s">
        <v>289</v>
      </c>
      <c r="M890" t="s">
        <v>25</v>
      </c>
      <c r="N890">
        <v>348.54</v>
      </c>
      <c r="O890">
        <v>4.7618999999999998</v>
      </c>
      <c r="P890">
        <v>17.43</v>
      </c>
      <c r="Q890">
        <v>7.7</v>
      </c>
      <c r="R890" s="8">
        <f t="shared" si="14"/>
        <v>43497</v>
      </c>
    </row>
    <row r="891" spans="1:18" x14ac:dyDescent="0.35">
      <c r="A891" t="s">
        <v>1146</v>
      </c>
      <c r="B891" t="s">
        <v>37</v>
      </c>
      <c r="C891" t="s">
        <v>38</v>
      </c>
      <c r="D891" t="s">
        <v>20</v>
      </c>
      <c r="E891" t="s">
        <v>21</v>
      </c>
      <c r="F891" t="s">
        <v>54</v>
      </c>
      <c r="G891">
        <v>16.760000000000002</v>
      </c>
      <c r="H891">
        <v>3</v>
      </c>
      <c r="I891">
        <v>2.5099999999999998</v>
      </c>
      <c r="J891">
        <v>52.79</v>
      </c>
      <c r="K891" t="s">
        <v>62</v>
      </c>
      <c r="L891" t="s">
        <v>255</v>
      </c>
      <c r="M891" t="s">
        <v>35</v>
      </c>
      <c r="N891">
        <v>50.28</v>
      </c>
      <c r="O891">
        <v>4.7618999999999998</v>
      </c>
      <c r="P891">
        <v>2.5099999999999998</v>
      </c>
      <c r="Q891">
        <v>7</v>
      </c>
      <c r="R891" s="8">
        <f t="shared" si="14"/>
        <v>43531</v>
      </c>
    </row>
    <row r="892" spans="1:18" x14ac:dyDescent="0.35">
      <c r="A892" t="s">
        <v>1147</v>
      </c>
      <c r="B892" t="s">
        <v>37</v>
      </c>
      <c r="C892" t="s">
        <v>38</v>
      </c>
      <c r="D892" t="s">
        <v>20</v>
      </c>
      <c r="E892" t="s">
        <v>42</v>
      </c>
      <c r="F892" t="s">
        <v>22</v>
      </c>
      <c r="G892">
        <v>32.479999999999997</v>
      </c>
      <c r="H892">
        <v>9</v>
      </c>
      <c r="I892">
        <v>14.62</v>
      </c>
      <c r="J892">
        <v>306.94</v>
      </c>
      <c r="K892" t="s">
        <v>187</v>
      </c>
      <c r="L892" t="s">
        <v>203</v>
      </c>
      <c r="M892" t="s">
        <v>35</v>
      </c>
      <c r="N892">
        <v>292.32</v>
      </c>
      <c r="O892">
        <v>4.7618999999999998</v>
      </c>
      <c r="P892">
        <v>14.62</v>
      </c>
      <c r="Q892">
        <v>5.8</v>
      </c>
      <c r="R892" s="8">
        <f t="shared" si="14"/>
        <v>43481</v>
      </c>
    </row>
    <row r="893" spans="1:18" x14ac:dyDescent="0.35">
      <c r="A893" t="s">
        <v>1148</v>
      </c>
      <c r="B893" t="s">
        <v>68</v>
      </c>
      <c r="C893" t="s">
        <v>69</v>
      </c>
      <c r="D893" t="s">
        <v>27</v>
      </c>
      <c r="E893" t="s">
        <v>21</v>
      </c>
      <c r="F893" t="s">
        <v>61</v>
      </c>
      <c r="G893">
        <v>93.62</v>
      </c>
      <c r="H893">
        <v>9</v>
      </c>
      <c r="I893">
        <v>42.13</v>
      </c>
      <c r="J893">
        <v>884.71</v>
      </c>
      <c r="K893" t="s">
        <v>231</v>
      </c>
      <c r="L893" t="s">
        <v>344</v>
      </c>
      <c r="M893" t="s">
        <v>35</v>
      </c>
      <c r="N893">
        <v>842.58</v>
      </c>
      <c r="O893">
        <v>4.7618999999999998</v>
      </c>
      <c r="P893">
        <v>42.13</v>
      </c>
      <c r="Q893">
        <v>4.3</v>
      </c>
      <c r="R893" s="8">
        <f t="shared" si="14"/>
        <v>43470</v>
      </c>
    </row>
    <row r="894" spans="1:18" x14ac:dyDescent="0.35">
      <c r="A894" t="s">
        <v>1149</v>
      </c>
      <c r="B894" t="s">
        <v>18</v>
      </c>
      <c r="C894" t="s">
        <v>19</v>
      </c>
      <c r="D894" t="s">
        <v>27</v>
      </c>
      <c r="E894" t="s">
        <v>42</v>
      </c>
      <c r="F894" t="s">
        <v>61</v>
      </c>
      <c r="G894">
        <v>41.85</v>
      </c>
      <c r="H894">
        <v>1</v>
      </c>
      <c r="I894">
        <v>2.09</v>
      </c>
      <c r="J894">
        <v>43.94</v>
      </c>
      <c r="K894" t="s">
        <v>315</v>
      </c>
      <c r="L894" t="s">
        <v>880</v>
      </c>
      <c r="M894" t="s">
        <v>35</v>
      </c>
      <c r="N894">
        <v>41.85</v>
      </c>
      <c r="O894">
        <v>4.7618999999999998</v>
      </c>
      <c r="P894">
        <v>2.09</v>
      </c>
      <c r="Q894">
        <v>4.0999999999999996</v>
      </c>
      <c r="R894" s="8">
        <f t="shared" si="14"/>
        <v>43510</v>
      </c>
    </row>
    <row r="895" spans="1:18" x14ac:dyDescent="0.35">
      <c r="A895" t="s">
        <v>1150</v>
      </c>
      <c r="B895" t="s">
        <v>37</v>
      </c>
      <c r="C895" t="s">
        <v>38</v>
      </c>
      <c r="D895" t="s">
        <v>20</v>
      </c>
      <c r="E895" t="s">
        <v>21</v>
      </c>
      <c r="F895" t="s">
        <v>50</v>
      </c>
      <c r="G895">
        <v>56.29</v>
      </c>
      <c r="H895">
        <v>3</v>
      </c>
      <c r="I895">
        <v>8.44</v>
      </c>
      <c r="J895">
        <v>177.31</v>
      </c>
      <c r="K895" t="s">
        <v>130</v>
      </c>
      <c r="L895" t="s">
        <v>180</v>
      </c>
      <c r="M895" t="s">
        <v>45</v>
      </c>
      <c r="N895">
        <v>168.87</v>
      </c>
      <c r="O895">
        <v>4.7618999999999998</v>
      </c>
      <c r="P895">
        <v>8.44</v>
      </c>
      <c r="Q895">
        <v>4.9000000000000004</v>
      </c>
      <c r="R895" s="8">
        <f t="shared" si="14"/>
        <v>43518</v>
      </c>
    </row>
    <row r="896" spans="1:18" x14ac:dyDescent="0.35">
      <c r="A896" t="s">
        <v>1151</v>
      </c>
      <c r="B896" t="s">
        <v>37</v>
      </c>
      <c r="C896" t="s">
        <v>38</v>
      </c>
      <c r="D896" t="s">
        <v>20</v>
      </c>
      <c r="E896" t="s">
        <v>42</v>
      </c>
      <c r="F896" t="s">
        <v>32</v>
      </c>
      <c r="G896">
        <v>43.69</v>
      </c>
      <c r="H896">
        <v>6</v>
      </c>
      <c r="I896">
        <v>13.11</v>
      </c>
      <c r="J896">
        <v>275.25</v>
      </c>
      <c r="K896" t="s">
        <v>482</v>
      </c>
      <c r="L896" t="s">
        <v>358</v>
      </c>
      <c r="M896" t="s">
        <v>35</v>
      </c>
      <c r="N896">
        <v>262.14</v>
      </c>
      <c r="O896">
        <v>4.7618999999999998</v>
      </c>
      <c r="P896">
        <v>13.11</v>
      </c>
      <c r="Q896">
        <v>4.7</v>
      </c>
      <c r="R896" s="8">
        <f t="shared" si="14"/>
        <v>43520</v>
      </c>
    </row>
    <row r="897" spans="1:18" x14ac:dyDescent="0.35">
      <c r="A897" t="s">
        <v>1152</v>
      </c>
      <c r="B897" t="s">
        <v>18</v>
      </c>
      <c r="C897" t="s">
        <v>19</v>
      </c>
      <c r="D897" t="s">
        <v>27</v>
      </c>
      <c r="E897" t="s">
        <v>21</v>
      </c>
      <c r="F897" t="s">
        <v>54</v>
      </c>
      <c r="G897">
        <v>41.84</v>
      </c>
      <c r="H897">
        <v>7</v>
      </c>
      <c r="I897">
        <v>14.64</v>
      </c>
      <c r="J897">
        <v>307.52</v>
      </c>
      <c r="K897" t="s">
        <v>422</v>
      </c>
      <c r="L897" t="s">
        <v>246</v>
      </c>
      <c r="M897" t="s">
        <v>45</v>
      </c>
      <c r="N897">
        <v>292.88</v>
      </c>
      <c r="O897">
        <v>4.7618999999999998</v>
      </c>
      <c r="P897">
        <v>14.64</v>
      </c>
      <c r="Q897">
        <v>4.7</v>
      </c>
      <c r="R897" s="8">
        <f t="shared" si="14"/>
        <v>43466</v>
      </c>
    </row>
    <row r="898" spans="1:18" x14ac:dyDescent="0.35">
      <c r="A898" t="s">
        <v>1153</v>
      </c>
      <c r="B898" t="s">
        <v>68</v>
      </c>
      <c r="C898" t="s">
        <v>69</v>
      </c>
      <c r="D898" t="s">
        <v>20</v>
      </c>
      <c r="E898" t="s">
        <v>42</v>
      </c>
      <c r="F898" t="s">
        <v>32</v>
      </c>
      <c r="G898">
        <v>76.95</v>
      </c>
      <c r="H898">
        <v>1</v>
      </c>
      <c r="I898">
        <v>3.85</v>
      </c>
      <c r="J898">
        <v>80.8</v>
      </c>
      <c r="K898" t="s">
        <v>33</v>
      </c>
      <c r="L898" t="s">
        <v>377</v>
      </c>
      <c r="M898" t="s">
        <v>35</v>
      </c>
      <c r="N898">
        <v>76.95</v>
      </c>
      <c r="O898">
        <v>4.7618999999999998</v>
      </c>
      <c r="P898">
        <v>3.85</v>
      </c>
      <c r="Q898">
        <v>9.8000000000000007</v>
      </c>
      <c r="R898" s="8">
        <f t="shared" si="14"/>
        <v>43486</v>
      </c>
    </row>
    <row r="899" spans="1:18" x14ac:dyDescent="0.35">
      <c r="A899" t="s">
        <v>1154</v>
      </c>
      <c r="B899" t="s">
        <v>68</v>
      </c>
      <c r="C899" t="s">
        <v>69</v>
      </c>
      <c r="D899" t="s">
        <v>27</v>
      </c>
      <c r="E899" t="s">
        <v>42</v>
      </c>
      <c r="F899" t="s">
        <v>50</v>
      </c>
      <c r="G899">
        <v>54.6</v>
      </c>
      <c r="H899">
        <v>3</v>
      </c>
      <c r="I899">
        <v>8.19</v>
      </c>
      <c r="J899">
        <v>171.99</v>
      </c>
      <c r="K899" t="s">
        <v>266</v>
      </c>
      <c r="L899" t="s">
        <v>536</v>
      </c>
      <c r="M899" t="s">
        <v>25</v>
      </c>
      <c r="N899">
        <v>163.80000000000001</v>
      </c>
      <c r="O899">
        <v>4.7618999999999998</v>
      </c>
      <c r="P899">
        <v>8.19</v>
      </c>
      <c r="Q899">
        <v>9.5</v>
      </c>
      <c r="R899" s="8">
        <f t="shared" si="14"/>
        <v>43507</v>
      </c>
    </row>
    <row r="900" spans="1:18" x14ac:dyDescent="0.35">
      <c r="A900" t="s">
        <v>1155</v>
      </c>
      <c r="B900" t="s">
        <v>37</v>
      </c>
      <c r="C900" t="s">
        <v>38</v>
      </c>
      <c r="D900" t="s">
        <v>20</v>
      </c>
      <c r="E900" t="s">
        <v>21</v>
      </c>
      <c r="F900" t="s">
        <v>28</v>
      </c>
      <c r="G900">
        <v>81.34</v>
      </c>
      <c r="H900">
        <v>3</v>
      </c>
      <c r="I900">
        <v>12.2</v>
      </c>
      <c r="J900">
        <v>256.22000000000003</v>
      </c>
      <c r="K900" t="s">
        <v>477</v>
      </c>
      <c r="L900" t="s">
        <v>391</v>
      </c>
      <c r="M900" t="s">
        <v>45</v>
      </c>
      <c r="N900">
        <v>244.02</v>
      </c>
      <c r="O900">
        <v>4.7618999999999998</v>
      </c>
      <c r="P900">
        <v>12.2</v>
      </c>
      <c r="Q900">
        <v>8.6</v>
      </c>
      <c r="R900" s="8">
        <f t="shared" si="14"/>
        <v>43485</v>
      </c>
    </row>
    <row r="901" spans="1:18" x14ac:dyDescent="0.35">
      <c r="A901" t="s">
        <v>1156</v>
      </c>
      <c r="B901" t="s">
        <v>68</v>
      </c>
      <c r="C901" t="s">
        <v>69</v>
      </c>
      <c r="D901" t="s">
        <v>27</v>
      </c>
      <c r="E901" t="s">
        <v>42</v>
      </c>
      <c r="F901" t="s">
        <v>50</v>
      </c>
      <c r="G901">
        <v>76.37</v>
      </c>
      <c r="H901">
        <v>7</v>
      </c>
      <c r="I901">
        <v>26.73</v>
      </c>
      <c r="J901">
        <v>561.32000000000005</v>
      </c>
      <c r="K901" t="s">
        <v>412</v>
      </c>
      <c r="L901" t="s">
        <v>203</v>
      </c>
      <c r="M901" t="s">
        <v>35</v>
      </c>
      <c r="N901">
        <v>534.59</v>
      </c>
      <c r="O901">
        <v>4.7618999999999998</v>
      </c>
      <c r="P901">
        <v>26.73</v>
      </c>
      <c r="Q901">
        <v>4.5</v>
      </c>
      <c r="R901" s="8">
        <f t="shared" si="14"/>
        <v>43527</v>
      </c>
    </row>
    <row r="902" spans="1:18" x14ac:dyDescent="0.35">
      <c r="A902" t="s">
        <v>1157</v>
      </c>
      <c r="B902" t="s">
        <v>68</v>
      </c>
      <c r="C902" t="s">
        <v>69</v>
      </c>
      <c r="D902" t="s">
        <v>20</v>
      </c>
      <c r="E902" t="s">
        <v>21</v>
      </c>
      <c r="F902" t="s">
        <v>54</v>
      </c>
      <c r="G902">
        <v>35.299999999999997</v>
      </c>
      <c r="H902">
        <v>2</v>
      </c>
      <c r="I902">
        <v>3.53</v>
      </c>
      <c r="J902">
        <v>74.13</v>
      </c>
      <c r="K902" t="s">
        <v>99</v>
      </c>
      <c r="L902" t="s">
        <v>162</v>
      </c>
      <c r="M902" t="s">
        <v>35</v>
      </c>
      <c r="N902">
        <v>70.599999999999994</v>
      </c>
      <c r="O902">
        <v>4.7618999999999998</v>
      </c>
      <c r="P902">
        <v>3.53</v>
      </c>
      <c r="Q902">
        <v>5.2</v>
      </c>
      <c r="R902" s="8">
        <f t="shared" si="14"/>
        <v>43499</v>
      </c>
    </row>
    <row r="903" spans="1:18" x14ac:dyDescent="0.35">
      <c r="A903" t="s">
        <v>1158</v>
      </c>
      <c r="B903" t="s">
        <v>68</v>
      </c>
      <c r="C903" t="s">
        <v>69</v>
      </c>
      <c r="D903" t="s">
        <v>20</v>
      </c>
      <c r="E903" t="s">
        <v>21</v>
      </c>
      <c r="F903" t="s">
        <v>50</v>
      </c>
      <c r="G903">
        <v>66.599999999999994</v>
      </c>
      <c r="H903">
        <v>3</v>
      </c>
      <c r="I903">
        <v>9.99</v>
      </c>
      <c r="J903">
        <v>209.79</v>
      </c>
      <c r="K903" t="s">
        <v>253</v>
      </c>
      <c r="L903" t="s">
        <v>463</v>
      </c>
      <c r="M903" t="s">
        <v>35</v>
      </c>
      <c r="N903">
        <v>199.8</v>
      </c>
      <c r="O903">
        <v>4.7618999999999998</v>
      </c>
      <c r="P903">
        <v>9.99</v>
      </c>
      <c r="Q903">
        <v>4.2</v>
      </c>
      <c r="R903" s="8">
        <f t="shared" si="14"/>
        <v>43495</v>
      </c>
    </row>
    <row r="904" spans="1:18" x14ac:dyDescent="0.35">
      <c r="A904" t="s">
        <v>1159</v>
      </c>
      <c r="B904" t="s">
        <v>68</v>
      </c>
      <c r="C904" t="s">
        <v>69</v>
      </c>
      <c r="D904" t="s">
        <v>27</v>
      </c>
      <c r="E904" t="s">
        <v>21</v>
      </c>
      <c r="F904" t="s">
        <v>50</v>
      </c>
      <c r="G904">
        <v>27.97</v>
      </c>
      <c r="H904">
        <v>1</v>
      </c>
      <c r="I904">
        <v>1.4</v>
      </c>
      <c r="J904">
        <v>29.37</v>
      </c>
      <c r="K904" t="s">
        <v>425</v>
      </c>
      <c r="L904" t="s">
        <v>536</v>
      </c>
      <c r="M904" t="s">
        <v>35</v>
      </c>
      <c r="N904">
        <v>27.97</v>
      </c>
      <c r="O904">
        <v>4.7618999999999998</v>
      </c>
      <c r="P904">
        <v>1.4</v>
      </c>
      <c r="Q904">
        <v>8.1999999999999993</v>
      </c>
      <c r="R904" s="8">
        <f t="shared" si="14"/>
        <v>43514</v>
      </c>
    </row>
    <row r="905" spans="1:18" x14ac:dyDescent="0.35">
      <c r="A905" t="s">
        <v>1160</v>
      </c>
      <c r="B905" t="s">
        <v>68</v>
      </c>
      <c r="C905" t="s">
        <v>69</v>
      </c>
      <c r="D905" t="s">
        <v>27</v>
      </c>
      <c r="E905" t="s">
        <v>42</v>
      </c>
      <c r="F905" t="s">
        <v>32</v>
      </c>
      <c r="G905">
        <v>15.52</v>
      </c>
      <c r="H905">
        <v>7</v>
      </c>
      <c r="I905">
        <v>5.43</v>
      </c>
      <c r="J905">
        <v>114.07</v>
      </c>
      <c r="K905" t="s">
        <v>439</v>
      </c>
      <c r="L905" t="s">
        <v>125</v>
      </c>
      <c r="M905" t="s">
        <v>45</v>
      </c>
      <c r="N905">
        <v>108.64</v>
      </c>
      <c r="O905">
        <v>4.7618999999999998</v>
      </c>
      <c r="P905">
        <v>5.43</v>
      </c>
      <c r="Q905">
        <v>5.6</v>
      </c>
      <c r="R905" s="8">
        <f t="shared" si="14"/>
        <v>43548</v>
      </c>
    </row>
    <row r="906" spans="1:18" x14ac:dyDescent="0.35">
      <c r="A906" t="s">
        <v>1161</v>
      </c>
      <c r="B906" t="s">
        <v>37</v>
      </c>
      <c r="C906" t="s">
        <v>38</v>
      </c>
      <c r="D906" t="s">
        <v>27</v>
      </c>
      <c r="E906" t="s">
        <v>21</v>
      </c>
      <c r="F906" t="s">
        <v>61</v>
      </c>
      <c r="G906">
        <v>90.56</v>
      </c>
      <c r="H906">
        <v>3</v>
      </c>
      <c r="I906">
        <v>13.58</v>
      </c>
      <c r="J906">
        <v>285.26</v>
      </c>
      <c r="K906" t="s">
        <v>245</v>
      </c>
      <c r="L906" t="s">
        <v>449</v>
      </c>
      <c r="M906" t="s">
        <v>25</v>
      </c>
      <c r="N906">
        <v>271.68</v>
      </c>
      <c r="O906">
        <v>4.7618999999999998</v>
      </c>
      <c r="P906">
        <v>13.58</v>
      </c>
      <c r="Q906">
        <v>8.5</v>
      </c>
      <c r="R906" s="8">
        <f t="shared" si="14"/>
        <v>43471</v>
      </c>
    </row>
    <row r="907" spans="1:18" x14ac:dyDescent="0.35">
      <c r="A907" t="s">
        <v>1162</v>
      </c>
      <c r="B907" t="s">
        <v>37</v>
      </c>
      <c r="C907" t="s">
        <v>38</v>
      </c>
      <c r="D907" t="s">
        <v>27</v>
      </c>
      <c r="E907" t="s">
        <v>42</v>
      </c>
      <c r="F907" t="s">
        <v>50</v>
      </c>
      <c r="G907">
        <v>19.07</v>
      </c>
      <c r="H907">
        <v>3</v>
      </c>
      <c r="I907">
        <v>2.86</v>
      </c>
      <c r="J907">
        <v>60.07</v>
      </c>
      <c r="K907" t="s">
        <v>179</v>
      </c>
      <c r="L907" t="s">
        <v>134</v>
      </c>
      <c r="M907" t="s">
        <v>35</v>
      </c>
      <c r="N907">
        <v>57.21</v>
      </c>
      <c r="O907">
        <v>4.7618999999999998</v>
      </c>
      <c r="P907">
        <v>2.86</v>
      </c>
      <c r="Q907">
        <v>5.8</v>
      </c>
      <c r="R907" s="8">
        <f t="shared" si="14"/>
        <v>43498</v>
      </c>
    </row>
    <row r="908" spans="1:18" x14ac:dyDescent="0.35">
      <c r="A908" t="s">
        <v>1163</v>
      </c>
      <c r="B908" t="s">
        <v>18</v>
      </c>
      <c r="C908" t="s">
        <v>19</v>
      </c>
      <c r="D908" t="s">
        <v>20</v>
      </c>
      <c r="E908" t="s">
        <v>21</v>
      </c>
      <c r="F908" t="s">
        <v>61</v>
      </c>
      <c r="G908">
        <v>42.45</v>
      </c>
      <c r="H908">
        <v>6</v>
      </c>
      <c r="I908">
        <v>12.73</v>
      </c>
      <c r="J908">
        <v>267.43</v>
      </c>
      <c r="K908" t="s">
        <v>82</v>
      </c>
      <c r="L908" t="s">
        <v>73</v>
      </c>
      <c r="M908" t="s">
        <v>35</v>
      </c>
      <c r="N908">
        <v>254.7</v>
      </c>
      <c r="O908">
        <v>4.7618999999999998</v>
      </c>
      <c r="P908">
        <v>12.73</v>
      </c>
      <c r="Q908">
        <v>5.4</v>
      </c>
      <c r="R908" s="8">
        <f t="shared" si="14"/>
        <v>43541</v>
      </c>
    </row>
    <row r="909" spans="1:18" x14ac:dyDescent="0.35">
      <c r="A909" t="s">
        <v>1164</v>
      </c>
      <c r="B909" t="s">
        <v>68</v>
      </c>
      <c r="C909" t="s">
        <v>69</v>
      </c>
      <c r="D909" t="s">
        <v>27</v>
      </c>
      <c r="E909" t="s">
        <v>21</v>
      </c>
      <c r="F909" t="s">
        <v>28</v>
      </c>
      <c r="G909">
        <v>21.74</v>
      </c>
      <c r="H909">
        <v>10</v>
      </c>
      <c r="I909">
        <v>10.87</v>
      </c>
      <c r="J909">
        <v>228.27</v>
      </c>
      <c r="K909" t="s">
        <v>187</v>
      </c>
      <c r="L909" t="s">
        <v>207</v>
      </c>
      <c r="M909" t="s">
        <v>25</v>
      </c>
      <c r="N909">
        <v>217.4</v>
      </c>
      <c r="O909">
        <v>4.7618999999999998</v>
      </c>
      <c r="P909">
        <v>10.87</v>
      </c>
      <c r="Q909">
        <v>8.9</v>
      </c>
      <c r="R909" s="8">
        <f t="shared" si="14"/>
        <v>43481</v>
      </c>
    </row>
    <row r="910" spans="1:18" x14ac:dyDescent="0.35">
      <c r="A910" t="s">
        <v>1165</v>
      </c>
      <c r="B910" t="s">
        <v>18</v>
      </c>
      <c r="C910" t="s">
        <v>19</v>
      </c>
      <c r="D910" t="s">
        <v>27</v>
      </c>
      <c r="E910" t="s">
        <v>21</v>
      </c>
      <c r="F910" t="s">
        <v>28</v>
      </c>
      <c r="G910">
        <v>94.76</v>
      </c>
      <c r="H910">
        <v>10</v>
      </c>
      <c r="I910">
        <v>47.38</v>
      </c>
      <c r="J910">
        <v>994.98</v>
      </c>
      <c r="K910" t="s">
        <v>240</v>
      </c>
      <c r="L910" t="s">
        <v>326</v>
      </c>
      <c r="M910" t="s">
        <v>35</v>
      </c>
      <c r="N910">
        <v>947.6</v>
      </c>
      <c r="O910">
        <v>4.7618999999999998</v>
      </c>
      <c r="P910">
        <v>47.38</v>
      </c>
      <c r="Q910">
        <v>9.9</v>
      </c>
      <c r="R910" s="8">
        <f t="shared" si="14"/>
        <v>43509</v>
      </c>
    </row>
    <row r="911" spans="1:18" x14ac:dyDescent="0.35">
      <c r="A911" t="s">
        <v>1166</v>
      </c>
      <c r="B911" t="s">
        <v>18</v>
      </c>
      <c r="C911" t="s">
        <v>19</v>
      </c>
      <c r="D911" t="s">
        <v>20</v>
      </c>
      <c r="E911" t="s">
        <v>21</v>
      </c>
      <c r="F911" t="s">
        <v>54</v>
      </c>
      <c r="G911">
        <v>27.25</v>
      </c>
      <c r="H911">
        <v>9</v>
      </c>
      <c r="I911">
        <v>12.26</v>
      </c>
      <c r="J911">
        <v>257.51</v>
      </c>
      <c r="K911" t="s">
        <v>179</v>
      </c>
      <c r="L911" t="s">
        <v>297</v>
      </c>
      <c r="M911" t="s">
        <v>35</v>
      </c>
      <c r="N911">
        <v>245.25</v>
      </c>
      <c r="O911">
        <v>4.7618999999999998</v>
      </c>
      <c r="P911">
        <v>12.26</v>
      </c>
      <c r="Q911">
        <v>6.7</v>
      </c>
      <c r="R911" s="8">
        <f t="shared" si="14"/>
        <v>43498</v>
      </c>
    </row>
    <row r="912" spans="1:18" x14ac:dyDescent="0.35">
      <c r="A912" t="s">
        <v>1167</v>
      </c>
      <c r="B912" t="s">
        <v>68</v>
      </c>
      <c r="C912" t="s">
        <v>69</v>
      </c>
      <c r="D912" t="s">
        <v>27</v>
      </c>
      <c r="E912" t="s">
        <v>21</v>
      </c>
      <c r="F912" t="s">
        <v>32</v>
      </c>
      <c r="G912">
        <v>47.71</v>
      </c>
      <c r="H912">
        <v>9</v>
      </c>
      <c r="I912">
        <v>21.47</v>
      </c>
      <c r="J912">
        <v>450.86</v>
      </c>
      <c r="K912" t="s">
        <v>170</v>
      </c>
      <c r="L912" t="s">
        <v>580</v>
      </c>
      <c r="M912" t="s">
        <v>35</v>
      </c>
      <c r="N912">
        <v>429.39</v>
      </c>
      <c r="O912">
        <v>4.7618999999999998</v>
      </c>
      <c r="P912">
        <v>21.47</v>
      </c>
      <c r="Q912">
        <v>8.1999999999999993</v>
      </c>
      <c r="R912" s="8">
        <f t="shared" si="14"/>
        <v>43468</v>
      </c>
    </row>
    <row r="913" spans="1:18" x14ac:dyDescent="0.35">
      <c r="A913" t="s">
        <v>1168</v>
      </c>
      <c r="B913" t="s">
        <v>37</v>
      </c>
      <c r="C913" t="s">
        <v>38</v>
      </c>
      <c r="D913" t="s">
        <v>20</v>
      </c>
      <c r="E913" t="s">
        <v>21</v>
      </c>
      <c r="F913" t="s">
        <v>22</v>
      </c>
      <c r="G913">
        <v>27.12</v>
      </c>
      <c r="H913">
        <v>7</v>
      </c>
      <c r="I913">
        <v>9.49</v>
      </c>
      <c r="J913">
        <v>199.33</v>
      </c>
      <c r="K913" t="s">
        <v>521</v>
      </c>
      <c r="L913" t="s">
        <v>289</v>
      </c>
      <c r="M913" t="s">
        <v>25</v>
      </c>
      <c r="N913">
        <v>189.84</v>
      </c>
      <c r="O913">
        <v>4.7618999999999998</v>
      </c>
      <c r="P913">
        <v>9.49</v>
      </c>
      <c r="Q913">
        <v>9.8000000000000007</v>
      </c>
      <c r="R913" s="8">
        <f t="shared" si="14"/>
        <v>43529</v>
      </c>
    </row>
    <row r="914" spans="1:18" x14ac:dyDescent="0.35">
      <c r="A914" t="s">
        <v>1169</v>
      </c>
      <c r="B914" t="s">
        <v>37</v>
      </c>
      <c r="C914" t="s">
        <v>38</v>
      </c>
      <c r="D914" t="s">
        <v>27</v>
      </c>
      <c r="E914" t="s">
        <v>42</v>
      </c>
      <c r="F914" t="s">
        <v>32</v>
      </c>
      <c r="G914">
        <v>64.650000000000006</v>
      </c>
      <c r="H914">
        <v>4</v>
      </c>
      <c r="I914">
        <v>12.93</v>
      </c>
      <c r="J914">
        <v>271.52999999999997</v>
      </c>
      <c r="K914" t="s">
        <v>93</v>
      </c>
      <c r="L914" t="s">
        <v>664</v>
      </c>
      <c r="M914" t="s">
        <v>25</v>
      </c>
      <c r="N914">
        <v>258.60000000000002</v>
      </c>
      <c r="O914">
        <v>4.7618999999999998</v>
      </c>
      <c r="P914">
        <v>12.93</v>
      </c>
      <c r="Q914">
        <v>5.3</v>
      </c>
      <c r="R914" s="8">
        <f t="shared" si="14"/>
        <v>43489</v>
      </c>
    </row>
    <row r="915" spans="1:18" x14ac:dyDescent="0.35">
      <c r="A915" t="s">
        <v>1170</v>
      </c>
      <c r="B915" t="s">
        <v>68</v>
      </c>
      <c r="C915" t="s">
        <v>69</v>
      </c>
      <c r="D915" t="s">
        <v>27</v>
      </c>
      <c r="E915" t="s">
        <v>42</v>
      </c>
      <c r="F915" t="s">
        <v>61</v>
      </c>
      <c r="G915">
        <v>86.72</v>
      </c>
      <c r="H915">
        <v>5</v>
      </c>
      <c r="I915">
        <v>21.68</v>
      </c>
      <c r="J915">
        <v>455.28</v>
      </c>
      <c r="K915" t="s">
        <v>218</v>
      </c>
      <c r="L915" t="s">
        <v>272</v>
      </c>
      <c r="M915" t="s">
        <v>45</v>
      </c>
      <c r="N915">
        <v>433.6</v>
      </c>
      <c r="O915">
        <v>4.7618999999999998</v>
      </c>
      <c r="P915">
        <v>21.68</v>
      </c>
      <c r="Q915">
        <v>5.3</v>
      </c>
      <c r="R915" s="8">
        <f t="shared" si="14"/>
        <v>43500</v>
      </c>
    </row>
    <row r="916" spans="1:18" x14ac:dyDescent="0.35">
      <c r="A916" t="s">
        <v>1171</v>
      </c>
      <c r="B916" t="s">
        <v>68</v>
      </c>
      <c r="C916" t="s">
        <v>69</v>
      </c>
      <c r="D916" t="s">
        <v>27</v>
      </c>
      <c r="E916" t="s">
        <v>21</v>
      </c>
      <c r="F916" t="s">
        <v>22</v>
      </c>
      <c r="G916">
        <v>23.33</v>
      </c>
      <c r="H916">
        <v>5</v>
      </c>
      <c r="I916">
        <v>5.83</v>
      </c>
      <c r="J916">
        <v>122.48</v>
      </c>
      <c r="K916" t="s">
        <v>23</v>
      </c>
      <c r="L916" t="s">
        <v>40</v>
      </c>
      <c r="M916" t="s">
        <v>25</v>
      </c>
      <c r="N916">
        <v>116.65</v>
      </c>
      <c r="O916">
        <v>4.7618999999999998</v>
      </c>
      <c r="P916">
        <v>5.83</v>
      </c>
      <c r="Q916">
        <v>9.9</v>
      </c>
      <c r="R916" s="8">
        <f t="shared" si="14"/>
        <v>43483</v>
      </c>
    </row>
    <row r="917" spans="1:18" x14ac:dyDescent="0.35">
      <c r="A917" t="s">
        <v>1172</v>
      </c>
      <c r="B917" t="s">
        <v>68</v>
      </c>
      <c r="C917" t="s">
        <v>69</v>
      </c>
      <c r="D917" t="s">
        <v>20</v>
      </c>
      <c r="E917" t="s">
        <v>21</v>
      </c>
      <c r="F917" t="s">
        <v>22</v>
      </c>
      <c r="G917">
        <v>41.27</v>
      </c>
      <c r="H917">
        <v>10</v>
      </c>
      <c r="I917">
        <v>20.64</v>
      </c>
      <c r="J917">
        <v>433.34</v>
      </c>
      <c r="K917" t="s">
        <v>320</v>
      </c>
      <c r="L917" t="s">
        <v>270</v>
      </c>
      <c r="M917" t="s">
        <v>25</v>
      </c>
      <c r="N917">
        <v>412.7</v>
      </c>
      <c r="O917">
        <v>4.7618999999999998</v>
      </c>
      <c r="P917">
        <v>20.64</v>
      </c>
      <c r="Q917">
        <v>9.3000000000000007</v>
      </c>
      <c r="R917" s="8">
        <f t="shared" si="14"/>
        <v>43513</v>
      </c>
    </row>
    <row r="918" spans="1:18" x14ac:dyDescent="0.35">
      <c r="A918" t="s">
        <v>1173</v>
      </c>
      <c r="B918" t="s">
        <v>18</v>
      </c>
      <c r="C918" t="s">
        <v>19</v>
      </c>
      <c r="D918" t="s">
        <v>20</v>
      </c>
      <c r="E918" t="s">
        <v>42</v>
      </c>
      <c r="F918" t="s">
        <v>50</v>
      </c>
      <c r="G918">
        <v>36.54</v>
      </c>
      <c r="H918">
        <v>1</v>
      </c>
      <c r="I918">
        <v>1.83</v>
      </c>
      <c r="J918">
        <v>38.369999999999997</v>
      </c>
      <c r="K918" t="s">
        <v>264</v>
      </c>
      <c r="L918" t="s">
        <v>284</v>
      </c>
      <c r="M918" t="s">
        <v>45</v>
      </c>
      <c r="N918">
        <v>36.54</v>
      </c>
      <c r="O918">
        <v>4.7618999999999998</v>
      </c>
      <c r="P918">
        <v>1.83</v>
      </c>
      <c r="Q918">
        <v>8.4</v>
      </c>
      <c r="R918" s="8">
        <f t="shared" si="14"/>
        <v>43546</v>
      </c>
    </row>
    <row r="919" spans="1:18" x14ac:dyDescent="0.35">
      <c r="A919" t="s">
        <v>1174</v>
      </c>
      <c r="B919" t="s">
        <v>68</v>
      </c>
      <c r="C919" t="s">
        <v>69</v>
      </c>
      <c r="D919" t="s">
        <v>27</v>
      </c>
      <c r="E919" t="s">
        <v>21</v>
      </c>
      <c r="F919" t="s">
        <v>50</v>
      </c>
      <c r="G919">
        <v>69.16</v>
      </c>
      <c r="H919">
        <v>10</v>
      </c>
      <c r="I919">
        <v>34.58</v>
      </c>
      <c r="J919">
        <v>726.18</v>
      </c>
      <c r="K919" t="s">
        <v>189</v>
      </c>
      <c r="L919" t="s">
        <v>80</v>
      </c>
      <c r="M919" t="s">
        <v>35</v>
      </c>
      <c r="N919">
        <v>691.6</v>
      </c>
      <c r="O919">
        <v>4.7618999999999998</v>
      </c>
      <c r="P919">
        <v>34.58</v>
      </c>
      <c r="Q919">
        <v>9.1999999999999993</v>
      </c>
      <c r="R919" s="8">
        <f t="shared" si="14"/>
        <v>43479</v>
      </c>
    </row>
    <row r="920" spans="1:18" x14ac:dyDescent="0.35">
      <c r="A920" t="s">
        <v>1175</v>
      </c>
      <c r="B920" t="s">
        <v>18</v>
      </c>
      <c r="C920" t="s">
        <v>19</v>
      </c>
      <c r="D920" t="s">
        <v>20</v>
      </c>
      <c r="E920" t="s">
        <v>42</v>
      </c>
      <c r="F920" t="s">
        <v>54</v>
      </c>
      <c r="G920">
        <v>39.18</v>
      </c>
      <c r="H920">
        <v>4</v>
      </c>
      <c r="I920">
        <v>7.84</v>
      </c>
      <c r="J920">
        <v>164.56</v>
      </c>
      <c r="K920" t="s">
        <v>102</v>
      </c>
      <c r="L920" t="s">
        <v>119</v>
      </c>
      <c r="M920" t="s">
        <v>45</v>
      </c>
      <c r="N920">
        <v>156.72</v>
      </c>
      <c r="O920">
        <v>4.7618999999999998</v>
      </c>
      <c r="P920">
        <v>7.84</v>
      </c>
      <c r="Q920">
        <v>6.7</v>
      </c>
      <c r="R920" s="8">
        <f t="shared" si="14"/>
        <v>43540</v>
      </c>
    </row>
    <row r="921" spans="1:18" x14ac:dyDescent="0.35">
      <c r="A921" t="s">
        <v>1176</v>
      </c>
      <c r="B921" t="s">
        <v>18</v>
      </c>
      <c r="C921" t="s">
        <v>19</v>
      </c>
      <c r="D921" t="s">
        <v>27</v>
      </c>
      <c r="E921" t="s">
        <v>42</v>
      </c>
      <c r="F921" t="s">
        <v>54</v>
      </c>
      <c r="G921">
        <v>91.2</v>
      </c>
      <c r="H921">
        <v>2</v>
      </c>
      <c r="I921">
        <v>9.1199999999999992</v>
      </c>
      <c r="J921">
        <v>191.52</v>
      </c>
      <c r="K921" t="s">
        <v>521</v>
      </c>
      <c r="L921" t="s">
        <v>71</v>
      </c>
      <c r="M921" t="s">
        <v>45</v>
      </c>
      <c r="N921">
        <v>182.4</v>
      </c>
      <c r="O921">
        <v>4.7618999999999998</v>
      </c>
      <c r="P921">
        <v>9.1199999999999992</v>
      </c>
      <c r="Q921">
        <v>8.9</v>
      </c>
      <c r="R921" s="8">
        <f t="shared" si="14"/>
        <v>43529</v>
      </c>
    </row>
    <row r="922" spans="1:18" x14ac:dyDescent="0.35">
      <c r="A922" t="s">
        <v>1177</v>
      </c>
      <c r="B922" t="s">
        <v>68</v>
      </c>
      <c r="C922" t="s">
        <v>69</v>
      </c>
      <c r="D922" t="s">
        <v>27</v>
      </c>
      <c r="E922" t="s">
        <v>21</v>
      </c>
      <c r="F922" t="s">
        <v>22</v>
      </c>
      <c r="G922">
        <v>35.380000000000003</v>
      </c>
      <c r="H922">
        <v>5</v>
      </c>
      <c r="I922">
        <v>8.85</v>
      </c>
      <c r="J922">
        <v>185.75</v>
      </c>
      <c r="K922" t="s">
        <v>33</v>
      </c>
      <c r="L922" t="s">
        <v>880</v>
      </c>
      <c r="M922" t="s">
        <v>25</v>
      </c>
      <c r="N922">
        <v>176.9</v>
      </c>
      <c r="O922">
        <v>4.7618999999999998</v>
      </c>
      <c r="P922">
        <v>8.85</v>
      </c>
      <c r="Q922">
        <v>7.6</v>
      </c>
      <c r="R922" s="8">
        <f t="shared" si="14"/>
        <v>43486</v>
      </c>
    </row>
    <row r="923" spans="1:18" x14ac:dyDescent="0.35">
      <c r="A923" t="s">
        <v>1178</v>
      </c>
      <c r="B923" t="s">
        <v>68</v>
      </c>
      <c r="C923" t="s">
        <v>69</v>
      </c>
      <c r="D923" t="s">
        <v>20</v>
      </c>
      <c r="E923" t="s">
        <v>42</v>
      </c>
      <c r="F923" t="s">
        <v>54</v>
      </c>
      <c r="G923">
        <v>50.95</v>
      </c>
      <c r="H923">
        <v>7</v>
      </c>
      <c r="I923">
        <v>17.829999999999998</v>
      </c>
      <c r="J923">
        <v>374.48</v>
      </c>
      <c r="K923" t="s">
        <v>405</v>
      </c>
      <c r="L923" t="s">
        <v>372</v>
      </c>
      <c r="M923" t="s">
        <v>25</v>
      </c>
      <c r="N923">
        <v>356.65</v>
      </c>
      <c r="O923">
        <v>4.7618999999999998</v>
      </c>
      <c r="P923">
        <v>17.829999999999998</v>
      </c>
      <c r="Q923">
        <v>8.5</v>
      </c>
      <c r="R923" s="8">
        <f t="shared" si="14"/>
        <v>43478</v>
      </c>
    </row>
    <row r="924" spans="1:18" x14ac:dyDescent="0.35">
      <c r="A924" t="s">
        <v>1179</v>
      </c>
      <c r="B924" t="s">
        <v>18</v>
      </c>
      <c r="C924" t="s">
        <v>19</v>
      </c>
      <c r="D924" t="s">
        <v>20</v>
      </c>
      <c r="E924" t="s">
        <v>42</v>
      </c>
      <c r="F924" t="s">
        <v>32</v>
      </c>
      <c r="G924">
        <v>11.86</v>
      </c>
      <c r="H924">
        <v>1</v>
      </c>
      <c r="I924">
        <v>0.59</v>
      </c>
      <c r="J924">
        <v>12.45</v>
      </c>
      <c r="K924" t="s">
        <v>439</v>
      </c>
      <c r="L924" t="s">
        <v>664</v>
      </c>
      <c r="M924" t="s">
        <v>45</v>
      </c>
      <c r="N924">
        <v>11.86</v>
      </c>
      <c r="O924">
        <v>4.7618999999999998</v>
      </c>
      <c r="P924">
        <v>0.59</v>
      </c>
      <c r="Q924">
        <v>8.6</v>
      </c>
      <c r="R924" s="8">
        <f t="shared" si="14"/>
        <v>43548</v>
      </c>
    </row>
    <row r="925" spans="1:18" x14ac:dyDescent="0.35">
      <c r="A925" t="s">
        <v>1180</v>
      </c>
      <c r="B925" t="s">
        <v>68</v>
      </c>
      <c r="C925" t="s">
        <v>69</v>
      </c>
      <c r="D925" t="s">
        <v>20</v>
      </c>
      <c r="E925" t="s">
        <v>21</v>
      </c>
      <c r="F925" t="s">
        <v>28</v>
      </c>
      <c r="G925">
        <v>58.81</v>
      </c>
      <c r="H925">
        <v>6</v>
      </c>
      <c r="I925">
        <v>17.64</v>
      </c>
      <c r="J925">
        <v>370.5</v>
      </c>
      <c r="K925" t="s">
        <v>107</v>
      </c>
      <c r="L925" t="s">
        <v>97</v>
      </c>
      <c r="M925" t="s">
        <v>35</v>
      </c>
      <c r="N925">
        <v>352.86</v>
      </c>
      <c r="O925">
        <v>4.7618999999999998</v>
      </c>
      <c r="P925">
        <v>17.64</v>
      </c>
      <c r="Q925">
        <v>8.6</v>
      </c>
      <c r="R925" s="8">
        <f t="shared" si="14"/>
        <v>43476</v>
      </c>
    </row>
    <row r="926" spans="1:18" x14ac:dyDescent="0.35">
      <c r="A926" t="s">
        <v>1181</v>
      </c>
      <c r="B926" t="s">
        <v>68</v>
      </c>
      <c r="C926" t="s">
        <v>69</v>
      </c>
      <c r="D926" t="s">
        <v>27</v>
      </c>
      <c r="E926" t="s">
        <v>42</v>
      </c>
      <c r="F926" t="s">
        <v>32</v>
      </c>
      <c r="G926">
        <v>23.91</v>
      </c>
      <c r="H926">
        <v>1</v>
      </c>
      <c r="I926">
        <v>1.2</v>
      </c>
      <c r="J926">
        <v>25.11</v>
      </c>
      <c r="K926" t="s">
        <v>281</v>
      </c>
      <c r="L926" t="s">
        <v>259</v>
      </c>
      <c r="M926" t="s">
        <v>25</v>
      </c>
      <c r="N926">
        <v>23.91</v>
      </c>
      <c r="O926">
        <v>4.7618999999999998</v>
      </c>
      <c r="P926">
        <v>1.2</v>
      </c>
      <c r="Q926">
        <v>4.7</v>
      </c>
      <c r="R926" s="8">
        <f t="shared" si="14"/>
        <v>43535</v>
      </c>
    </row>
    <row r="927" spans="1:18" x14ac:dyDescent="0.35">
      <c r="A927" t="s">
        <v>1182</v>
      </c>
      <c r="B927" t="s">
        <v>68</v>
      </c>
      <c r="C927" t="s">
        <v>69</v>
      </c>
      <c r="D927" t="s">
        <v>20</v>
      </c>
      <c r="E927" t="s">
        <v>42</v>
      </c>
      <c r="F927" t="s">
        <v>28</v>
      </c>
      <c r="G927">
        <v>56.04</v>
      </c>
      <c r="H927">
        <v>7</v>
      </c>
      <c r="I927">
        <v>19.61</v>
      </c>
      <c r="J927">
        <v>411.89</v>
      </c>
      <c r="K927" t="s">
        <v>58</v>
      </c>
      <c r="L927" t="s">
        <v>430</v>
      </c>
      <c r="M927" t="s">
        <v>45</v>
      </c>
      <c r="N927">
        <v>392.28</v>
      </c>
      <c r="O927">
        <v>4.7618999999999998</v>
      </c>
      <c r="P927">
        <v>19.61</v>
      </c>
      <c r="Q927">
        <v>5.4</v>
      </c>
      <c r="R927" s="8">
        <f t="shared" si="14"/>
        <v>43484</v>
      </c>
    </row>
    <row r="928" spans="1:18" x14ac:dyDescent="0.35">
      <c r="A928" t="s">
        <v>1183</v>
      </c>
      <c r="B928" t="s">
        <v>68</v>
      </c>
      <c r="C928" t="s">
        <v>69</v>
      </c>
      <c r="D928" t="s">
        <v>27</v>
      </c>
      <c r="E928" t="s">
        <v>42</v>
      </c>
      <c r="F928" t="s">
        <v>54</v>
      </c>
      <c r="G928">
        <v>92.95</v>
      </c>
      <c r="H928">
        <v>7</v>
      </c>
      <c r="I928">
        <v>32.53</v>
      </c>
      <c r="J928">
        <v>683.18</v>
      </c>
      <c r="K928" t="s">
        <v>295</v>
      </c>
      <c r="L928" t="s">
        <v>180</v>
      </c>
      <c r="M928" t="s">
        <v>45</v>
      </c>
      <c r="N928">
        <v>650.65</v>
      </c>
      <c r="O928">
        <v>4.7618999999999998</v>
      </c>
      <c r="P928">
        <v>32.53</v>
      </c>
      <c r="Q928">
        <v>9.9</v>
      </c>
      <c r="R928" s="8">
        <f t="shared" si="14"/>
        <v>43553</v>
      </c>
    </row>
    <row r="929" spans="1:18" x14ac:dyDescent="0.35">
      <c r="A929" t="s">
        <v>1184</v>
      </c>
      <c r="B929" t="s">
        <v>68</v>
      </c>
      <c r="C929" t="s">
        <v>69</v>
      </c>
      <c r="D929" t="s">
        <v>27</v>
      </c>
      <c r="E929" t="s">
        <v>42</v>
      </c>
      <c r="F929" t="s">
        <v>28</v>
      </c>
      <c r="G929">
        <v>65.41</v>
      </c>
      <c r="H929">
        <v>2</v>
      </c>
      <c r="I929">
        <v>6.54</v>
      </c>
      <c r="J929">
        <v>137.36000000000001</v>
      </c>
      <c r="K929" t="s">
        <v>233</v>
      </c>
      <c r="L929" t="s">
        <v>305</v>
      </c>
      <c r="M929" t="s">
        <v>25</v>
      </c>
      <c r="N929">
        <v>130.82</v>
      </c>
      <c r="O929">
        <v>4.7618999999999998</v>
      </c>
      <c r="P929">
        <v>6.54</v>
      </c>
      <c r="Q929">
        <v>4.9000000000000004</v>
      </c>
      <c r="R929" s="8">
        <f t="shared" si="14"/>
        <v>43512</v>
      </c>
    </row>
    <row r="930" spans="1:18" x14ac:dyDescent="0.35">
      <c r="A930" t="s">
        <v>1185</v>
      </c>
      <c r="B930" t="s">
        <v>18</v>
      </c>
      <c r="C930" t="s">
        <v>19</v>
      </c>
      <c r="D930" t="s">
        <v>27</v>
      </c>
      <c r="E930" t="s">
        <v>21</v>
      </c>
      <c r="F930" t="s">
        <v>22</v>
      </c>
      <c r="G930">
        <v>48.27</v>
      </c>
      <c r="H930">
        <v>5</v>
      </c>
      <c r="I930">
        <v>12.07</v>
      </c>
      <c r="J930">
        <v>253.42</v>
      </c>
      <c r="K930" t="s">
        <v>145</v>
      </c>
      <c r="L930" t="s">
        <v>165</v>
      </c>
      <c r="M930" t="s">
        <v>45</v>
      </c>
      <c r="N930">
        <v>241.35</v>
      </c>
      <c r="O930">
        <v>4.7618999999999998</v>
      </c>
      <c r="P930">
        <v>12.07</v>
      </c>
      <c r="Q930">
        <v>5.6</v>
      </c>
      <c r="R930" s="8">
        <f t="shared" si="14"/>
        <v>43545</v>
      </c>
    </row>
    <row r="931" spans="1:18" x14ac:dyDescent="0.35">
      <c r="A931" t="s">
        <v>1186</v>
      </c>
      <c r="B931" t="s">
        <v>18</v>
      </c>
      <c r="C931" t="s">
        <v>19</v>
      </c>
      <c r="D931" t="s">
        <v>27</v>
      </c>
      <c r="E931" t="s">
        <v>42</v>
      </c>
      <c r="F931" t="s">
        <v>22</v>
      </c>
      <c r="G931">
        <v>81.88</v>
      </c>
      <c r="H931">
        <v>1</v>
      </c>
      <c r="I931">
        <v>4.09</v>
      </c>
      <c r="J931">
        <v>85.97</v>
      </c>
      <c r="K931" t="s">
        <v>477</v>
      </c>
      <c r="L931" t="s">
        <v>316</v>
      </c>
      <c r="M931" t="s">
        <v>35</v>
      </c>
      <c r="N931">
        <v>81.88</v>
      </c>
      <c r="O931">
        <v>4.7618999999999998</v>
      </c>
      <c r="P931">
        <v>4.09</v>
      </c>
      <c r="Q931">
        <v>4.9000000000000004</v>
      </c>
      <c r="R931" s="8">
        <f t="shared" si="14"/>
        <v>43485</v>
      </c>
    </row>
    <row r="932" spans="1:18" x14ac:dyDescent="0.35">
      <c r="A932" t="s">
        <v>1187</v>
      </c>
      <c r="B932" t="s">
        <v>18</v>
      </c>
      <c r="C932" t="s">
        <v>19</v>
      </c>
      <c r="D932" t="s">
        <v>27</v>
      </c>
      <c r="E932" t="s">
        <v>21</v>
      </c>
      <c r="F932" t="s">
        <v>28</v>
      </c>
      <c r="G932">
        <v>62.01</v>
      </c>
      <c r="H932">
        <v>5</v>
      </c>
      <c r="I932">
        <v>15.5</v>
      </c>
      <c r="J932">
        <v>325.55</v>
      </c>
      <c r="K932" t="s">
        <v>58</v>
      </c>
      <c r="L932" t="s">
        <v>382</v>
      </c>
      <c r="M932" t="s">
        <v>45</v>
      </c>
      <c r="N932">
        <v>310.05</v>
      </c>
      <c r="O932">
        <v>4.7618999999999998</v>
      </c>
      <c r="P932">
        <v>15.5</v>
      </c>
      <c r="Q932">
        <v>5.0999999999999996</v>
      </c>
      <c r="R932" s="8">
        <f t="shared" si="14"/>
        <v>43484</v>
      </c>
    </row>
    <row r="933" spans="1:18" x14ac:dyDescent="0.35">
      <c r="A933" t="s">
        <v>1188</v>
      </c>
      <c r="B933" t="s">
        <v>37</v>
      </c>
      <c r="C933" t="s">
        <v>38</v>
      </c>
      <c r="D933" t="s">
        <v>27</v>
      </c>
      <c r="E933" t="s">
        <v>42</v>
      </c>
      <c r="F933" t="s">
        <v>32</v>
      </c>
      <c r="G933">
        <v>53.32</v>
      </c>
      <c r="H933">
        <v>7</v>
      </c>
      <c r="I933">
        <v>18.66</v>
      </c>
      <c r="J933">
        <v>391.9</v>
      </c>
      <c r="K933" t="s">
        <v>39</v>
      </c>
      <c r="L933" t="s">
        <v>282</v>
      </c>
      <c r="M933" t="s">
        <v>45</v>
      </c>
      <c r="N933">
        <v>373.24</v>
      </c>
      <c r="O933">
        <v>4.7618999999999998</v>
      </c>
      <c r="P933">
        <v>18.66</v>
      </c>
      <c r="Q933">
        <v>8.8000000000000007</v>
      </c>
      <c r="R933" s="8">
        <f t="shared" si="14"/>
        <v>43543</v>
      </c>
    </row>
    <row r="934" spans="1:18" x14ac:dyDescent="0.35">
      <c r="A934" t="s">
        <v>1189</v>
      </c>
      <c r="B934" t="s">
        <v>68</v>
      </c>
      <c r="C934" t="s">
        <v>69</v>
      </c>
      <c r="D934" t="s">
        <v>27</v>
      </c>
      <c r="E934" t="s">
        <v>42</v>
      </c>
      <c r="F934" t="s">
        <v>50</v>
      </c>
      <c r="G934">
        <v>54.74</v>
      </c>
      <c r="H934">
        <v>9</v>
      </c>
      <c r="I934">
        <v>24.63</v>
      </c>
      <c r="J934">
        <v>517.29</v>
      </c>
      <c r="K934" t="s">
        <v>521</v>
      </c>
      <c r="L934" t="s">
        <v>243</v>
      </c>
      <c r="M934" t="s">
        <v>45</v>
      </c>
      <c r="N934">
        <v>492.66</v>
      </c>
      <c r="O934">
        <v>4.7618999999999998</v>
      </c>
      <c r="P934">
        <v>24.63</v>
      </c>
      <c r="Q934">
        <v>6.3</v>
      </c>
      <c r="R934" s="8">
        <f t="shared" si="14"/>
        <v>43529</v>
      </c>
    </row>
    <row r="935" spans="1:18" x14ac:dyDescent="0.35">
      <c r="A935" t="s">
        <v>1190</v>
      </c>
      <c r="B935" t="s">
        <v>18</v>
      </c>
      <c r="C935" t="s">
        <v>19</v>
      </c>
      <c r="D935" t="s">
        <v>27</v>
      </c>
      <c r="E935" t="s">
        <v>21</v>
      </c>
      <c r="F935" t="s">
        <v>22</v>
      </c>
      <c r="G935">
        <v>17.850000000000001</v>
      </c>
      <c r="H935">
        <v>6</v>
      </c>
      <c r="I935">
        <v>5.36</v>
      </c>
      <c r="J935">
        <v>112.46</v>
      </c>
      <c r="K935" t="s">
        <v>422</v>
      </c>
      <c r="L935" t="s">
        <v>76</v>
      </c>
      <c r="M935" t="s">
        <v>35</v>
      </c>
      <c r="N935">
        <v>107.1</v>
      </c>
      <c r="O935">
        <v>4.7618999999999998</v>
      </c>
      <c r="P935">
        <v>5.36</v>
      </c>
      <c r="Q935">
        <v>7.4</v>
      </c>
      <c r="R935" s="8">
        <f t="shared" si="14"/>
        <v>43466</v>
      </c>
    </row>
    <row r="936" spans="1:18" x14ac:dyDescent="0.35">
      <c r="A936" t="s">
        <v>1191</v>
      </c>
      <c r="B936" t="s">
        <v>68</v>
      </c>
      <c r="C936" t="s">
        <v>69</v>
      </c>
      <c r="D936" t="s">
        <v>20</v>
      </c>
      <c r="E936" t="s">
        <v>42</v>
      </c>
      <c r="F936" t="s">
        <v>61</v>
      </c>
      <c r="G936">
        <v>86.39</v>
      </c>
      <c r="H936">
        <v>3</v>
      </c>
      <c r="I936">
        <v>12.96</v>
      </c>
      <c r="J936">
        <v>272.13</v>
      </c>
      <c r="K936" t="s">
        <v>269</v>
      </c>
      <c r="L936" t="s">
        <v>176</v>
      </c>
      <c r="M936" t="s">
        <v>25</v>
      </c>
      <c r="N936">
        <v>259.17</v>
      </c>
      <c r="O936">
        <v>4.7618999999999998</v>
      </c>
      <c r="P936">
        <v>12.96</v>
      </c>
      <c r="Q936">
        <v>9.8000000000000007</v>
      </c>
      <c r="R936" s="8">
        <f t="shared" si="14"/>
        <v>43503</v>
      </c>
    </row>
    <row r="937" spans="1:18" x14ac:dyDescent="0.35">
      <c r="A937" t="s">
        <v>1192</v>
      </c>
      <c r="B937" t="s">
        <v>68</v>
      </c>
      <c r="C937" t="s">
        <v>69</v>
      </c>
      <c r="D937" t="s">
        <v>20</v>
      </c>
      <c r="E937" t="s">
        <v>21</v>
      </c>
      <c r="F937" t="s">
        <v>28</v>
      </c>
      <c r="G937">
        <v>77.23</v>
      </c>
      <c r="H937">
        <v>2</v>
      </c>
      <c r="I937">
        <v>7.72</v>
      </c>
      <c r="J937">
        <v>162.18</v>
      </c>
      <c r="K937" t="s">
        <v>58</v>
      </c>
      <c r="L937" t="s">
        <v>91</v>
      </c>
      <c r="M937" t="s">
        <v>45</v>
      </c>
      <c r="N937">
        <v>154.46</v>
      </c>
      <c r="O937">
        <v>4.7618999999999998</v>
      </c>
      <c r="P937">
        <v>7.72</v>
      </c>
      <c r="Q937">
        <v>8.1999999999999993</v>
      </c>
      <c r="R937" s="8">
        <f t="shared" si="14"/>
        <v>43484</v>
      </c>
    </row>
    <row r="938" spans="1:18" x14ac:dyDescent="0.35">
      <c r="A938" t="s">
        <v>1193</v>
      </c>
      <c r="B938" t="s">
        <v>37</v>
      </c>
      <c r="C938" t="s">
        <v>38</v>
      </c>
      <c r="D938" t="s">
        <v>20</v>
      </c>
      <c r="E938" t="s">
        <v>21</v>
      </c>
      <c r="F938" t="s">
        <v>22</v>
      </c>
      <c r="G938">
        <v>62.34</v>
      </c>
      <c r="H938">
        <v>8</v>
      </c>
      <c r="I938">
        <v>24.94</v>
      </c>
      <c r="J938">
        <v>523.66</v>
      </c>
      <c r="K938" t="s">
        <v>65</v>
      </c>
      <c r="L938" t="s">
        <v>154</v>
      </c>
      <c r="M938" t="s">
        <v>45</v>
      </c>
      <c r="N938">
        <v>498.72</v>
      </c>
      <c r="O938">
        <v>4.7618999999999998</v>
      </c>
      <c r="P938">
        <v>24.94</v>
      </c>
      <c r="Q938">
        <v>6.2</v>
      </c>
      <c r="R938" s="8">
        <f t="shared" ref="R938:R990" si="15">DATEVALUE(K938)</f>
        <v>43542</v>
      </c>
    </row>
    <row r="939" spans="1:18" x14ac:dyDescent="0.35">
      <c r="A939" t="s">
        <v>1194</v>
      </c>
      <c r="B939" t="s">
        <v>68</v>
      </c>
      <c r="C939" t="s">
        <v>69</v>
      </c>
      <c r="D939" t="s">
        <v>20</v>
      </c>
      <c r="E939" t="s">
        <v>21</v>
      </c>
      <c r="F939" t="s">
        <v>50</v>
      </c>
      <c r="G939">
        <v>84.8</v>
      </c>
      <c r="H939">
        <v>7</v>
      </c>
      <c r="I939">
        <v>29.68</v>
      </c>
      <c r="J939">
        <v>623.28</v>
      </c>
      <c r="K939" t="s">
        <v>477</v>
      </c>
      <c r="L939" t="s">
        <v>71</v>
      </c>
      <c r="M939" t="s">
        <v>25</v>
      </c>
      <c r="N939">
        <v>593.6</v>
      </c>
      <c r="O939">
        <v>4.7618999999999998</v>
      </c>
      <c r="P939">
        <v>29.68</v>
      </c>
      <c r="Q939">
        <v>4.8</v>
      </c>
      <c r="R939" s="8">
        <f t="shared" si="15"/>
        <v>43485</v>
      </c>
    </row>
    <row r="940" spans="1:18" x14ac:dyDescent="0.35">
      <c r="A940" t="s">
        <v>1195</v>
      </c>
      <c r="B940" t="s">
        <v>18</v>
      </c>
      <c r="C940" t="s">
        <v>19</v>
      </c>
      <c r="D940" t="s">
        <v>27</v>
      </c>
      <c r="E940" t="s">
        <v>42</v>
      </c>
      <c r="F940" t="s">
        <v>32</v>
      </c>
      <c r="G940">
        <v>75.03</v>
      </c>
      <c r="H940">
        <v>8</v>
      </c>
      <c r="I940">
        <v>30.01</v>
      </c>
      <c r="J940">
        <v>630.25</v>
      </c>
      <c r="K940" t="s">
        <v>439</v>
      </c>
      <c r="L940" t="s">
        <v>125</v>
      </c>
      <c r="M940" t="s">
        <v>45</v>
      </c>
      <c r="N940">
        <v>600.24</v>
      </c>
      <c r="O940">
        <v>4.7618999999999998</v>
      </c>
      <c r="P940">
        <v>30.01</v>
      </c>
      <c r="Q940">
        <v>4.9000000000000004</v>
      </c>
      <c r="R940" s="8">
        <f t="shared" si="15"/>
        <v>43548</v>
      </c>
    </row>
    <row r="941" spans="1:18" x14ac:dyDescent="0.35">
      <c r="A941" t="s">
        <v>1196</v>
      </c>
      <c r="B941" t="s">
        <v>68</v>
      </c>
      <c r="C941" t="s">
        <v>69</v>
      </c>
      <c r="D941" t="s">
        <v>20</v>
      </c>
      <c r="E941" t="s">
        <v>21</v>
      </c>
      <c r="F941" t="s">
        <v>28</v>
      </c>
      <c r="G941">
        <v>45.68</v>
      </c>
      <c r="H941">
        <v>7</v>
      </c>
      <c r="I941">
        <v>15.99</v>
      </c>
      <c r="J941">
        <v>335.75</v>
      </c>
      <c r="K941" t="s">
        <v>295</v>
      </c>
      <c r="L941" t="s">
        <v>66</v>
      </c>
      <c r="M941" t="s">
        <v>25</v>
      </c>
      <c r="N941">
        <v>319.76</v>
      </c>
      <c r="O941">
        <v>4.7618999999999998</v>
      </c>
      <c r="P941">
        <v>15.99</v>
      </c>
      <c r="Q941">
        <v>9</v>
      </c>
      <c r="R941" s="8">
        <f t="shared" si="15"/>
        <v>43553</v>
      </c>
    </row>
    <row r="942" spans="1:18" x14ac:dyDescent="0.35">
      <c r="A942" t="s">
        <v>1197</v>
      </c>
      <c r="B942" t="s">
        <v>18</v>
      </c>
      <c r="C942" t="s">
        <v>19</v>
      </c>
      <c r="D942" t="s">
        <v>27</v>
      </c>
      <c r="E942" t="s">
        <v>21</v>
      </c>
      <c r="F942" t="s">
        <v>32</v>
      </c>
      <c r="G942">
        <v>93.83</v>
      </c>
      <c r="H942">
        <v>5</v>
      </c>
      <c r="I942">
        <v>23.46</v>
      </c>
      <c r="J942">
        <v>492.61</v>
      </c>
      <c r="K942" t="s">
        <v>96</v>
      </c>
      <c r="L942" t="s">
        <v>128</v>
      </c>
      <c r="M942" t="s">
        <v>45</v>
      </c>
      <c r="N942">
        <v>469.15</v>
      </c>
      <c r="O942">
        <v>4.7618999999999998</v>
      </c>
      <c r="P942">
        <v>23.46</v>
      </c>
      <c r="Q942">
        <v>8.5</v>
      </c>
      <c r="R942" s="8">
        <f t="shared" si="15"/>
        <v>43477</v>
      </c>
    </row>
    <row r="943" spans="1:18" x14ac:dyDescent="0.35">
      <c r="A943" t="s">
        <v>1198</v>
      </c>
      <c r="B943" t="s">
        <v>18</v>
      </c>
      <c r="C943" t="s">
        <v>19</v>
      </c>
      <c r="D943" t="s">
        <v>20</v>
      </c>
      <c r="E943" t="s">
        <v>21</v>
      </c>
      <c r="F943" t="s">
        <v>32</v>
      </c>
      <c r="G943">
        <v>26.53</v>
      </c>
      <c r="H943">
        <v>9</v>
      </c>
      <c r="I943">
        <v>11.94</v>
      </c>
      <c r="J943">
        <v>250.71</v>
      </c>
      <c r="K943" t="s">
        <v>39</v>
      </c>
      <c r="L943" t="s">
        <v>342</v>
      </c>
      <c r="M943" t="s">
        <v>35</v>
      </c>
      <c r="N943">
        <v>238.77</v>
      </c>
      <c r="O943">
        <v>4.7618999999999998</v>
      </c>
      <c r="P943">
        <v>11.94</v>
      </c>
      <c r="Q943">
        <v>6.9</v>
      </c>
      <c r="R943" s="8">
        <f t="shared" si="15"/>
        <v>43543</v>
      </c>
    </row>
    <row r="944" spans="1:18" x14ac:dyDescent="0.35">
      <c r="A944" t="s">
        <v>1199</v>
      </c>
      <c r="B944" t="s">
        <v>18</v>
      </c>
      <c r="C944" t="s">
        <v>19</v>
      </c>
      <c r="D944" t="s">
        <v>27</v>
      </c>
      <c r="E944" t="s">
        <v>42</v>
      </c>
      <c r="F944" t="s">
        <v>54</v>
      </c>
      <c r="G944">
        <v>14.92</v>
      </c>
      <c r="H944">
        <v>6</v>
      </c>
      <c r="I944">
        <v>4.4800000000000004</v>
      </c>
      <c r="J944">
        <v>94</v>
      </c>
      <c r="K944" t="s">
        <v>439</v>
      </c>
      <c r="L944" t="s">
        <v>384</v>
      </c>
      <c r="M944" t="s">
        <v>35</v>
      </c>
      <c r="N944">
        <v>89.52</v>
      </c>
      <c r="O944">
        <v>4.7618999999999998</v>
      </c>
      <c r="P944">
        <v>4.4800000000000004</v>
      </c>
      <c r="Q944">
        <v>4.7</v>
      </c>
      <c r="R944" s="8">
        <f t="shared" si="15"/>
        <v>43548</v>
      </c>
    </row>
    <row r="945" spans="1:18" x14ac:dyDescent="0.35">
      <c r="A945" t="s">
        <v>1200</v>
      </c>
      <c r="B945" t="s">
        <v>37</v>
      </c>
      <c r="C945" t="s">
        <v>38</v>
      </c>
      <c r="D945" t="s">
        <v>27</v>
      </c>
      <c r="E945" t="s">
        <v>21</v>
      </c>
      <c r="F945" t="s">
        <v>54</v>
      </c>
      <c r="G945">
        <v>35.4</v>
      </c>
      <c r="H945">
        <v>9</v>
      </c>
      <c r="I945">
        <v>15.93</v>
      </c>
      <c r="J945">
        <v>334.53</v>
      </c>
      <c r="K945" t="s">
        <v>189</v>
      </c>
      <c r="L945" t="s">
        <v>224</v>
      </c>
      <c r="M945" t="s">
        <v>25</v>
      </c>
      <c r="N945">
        <v>318.60000000000002</v>
      </c>
      <c r="O945">
        <v>4.7618999999999998</v>
      </c>
      <c r="P945">
        <v>15.93</v>
      </c>
      <c r="Q945">
        <v>4.0999999999999996</v>
      </c>
      <c r="R945" s="8">
        <f t="shared" si="15"/>
        <v>43479</v>
      </c>
    </row>
    <row r="946" spans="1:18" x14ac:dyDescent="0.35">
      <c r="A946" t="s">
        <v>1201</v>
      </c>
      <c r="B946" t="s">
        <v>68</v>
      </c>
      <c r="C946" t="s">
        <v>69</v>
      </c>
      <c r="D946" t="s">
        <v>20</v>
      </c>
      <c r="E946" t="s">
        <v>21</v>
      </c>
      <c r="F946" t="s">
        <v>54</v>
      </c>
      <c r="G946">
        <v>34.229999999999997</v>
      </c>
      <c r="H946">
        <v>10</v>
      </c>
      <c r="I946">
        <v>17.12</v>
      </c>
      <c r="J946">
        <v>359.42</v>
      </c>
      <c r="K946" t="s">
        <v>526</v>
      </c>
      <c r="L946" t="s">
        <v>207</v>
      </c>
      <c r="M946" t="s">
        <v>35</v>
      </c>
      <c r="N946">
        <v>342.3</v>
      </c>
      <c r="O946">
        <v>4.7618999999999998</v>
      </c>
      <c r="P946">
        <v>17.12</v>
      </c>
      <c r="Q946">
        <v>4.3</v>
      </c>
      <c r="R946" s="8">
        <f t="shared" si="15"/>
        <v>43538</v>
      </c>
    </row>
    <row r="947" spans="1:18" x14ac:dyDescent="0.35">
      <c r="A947" t="s">
        <v>1202</v>
      </c>
      <c r="B947" t="s">
        <v>68</v>
      </c>
      <c r="C947" t="s">
        <v>69</v>
      </c>
      <c r="D947" t="s">
        <v>27</v>
      </c>
      <c r="E947" t="s">
        <v>21</v>
      </c>
      <c r="F947" t="s">
        <v>61</v>
      </c>
      <c r="G947">
        <v>77.650000000000006</v>
      </c>
      <c r="H947">
        <v>7</v>
      </c>
      <c r="I947">
        <v>27.18</v>
      </c>
      <c r="J947">
        <v>570.73</v>
      </c>
      <c r="K947" t="s">
        <v>29</v>
      </c>
      <c r="L947" t="s">
        <v>197</v>
      </c>
      <c r="M947" t="s">
        <v>35</v>
      </c>
      <c r="N947">
        <v>543.54999999999995</v>
      </c>
      <c r="O947">
        <v>4.7618999999999998</v>
      </c>
      <c r="P947">
        <v>27.18</v>
      </c>
      <c r="Q947">
        <v>8.4</v>
      </c>
      <c r="R947" s="8">
        <f t="shared" si="15"/>
        <v>43530</v>
      </c>
    </row>
    <row r="948" spans="1:18" x14ac:dyDescent="0.35">
      <c r="A948" t="s">
        <v>1203</v>
      </c>
      <c r="B948" t="s">
        <v>18</v>
      </c>
      <c r="C948" t="s">
        <v>19</v>
      </c>
      <c r="D948" t="s">
        <v>20</v>
      </c>
      <c r="E948" t="s">
        <v>42</v>
      </c>
      <c r="F948" t="s">
        <v>32</v>
      </c>
      <c r="G948">
        <v>90.69</v>
      </c>
      <c r="H948">
        <v>9</v>
      </c>
      <c r="I948">
        <v>40.81</v>
      </c>
      <c r="J948">
        <v>857.02</v>
      </c>
      <c r="K948" t="s">
        <v>405</v>
      </c>
      <c r="L948" t="s">
        <v>372</v>
      </c>
      <c r="M948" t="s">
        <v>45</v>
      </c>
      <c r="N948">
        <v>816.21</v>
      </c>
      <c r="O948">
        <v>4.7618999999999998</v>
      </c>
      <c r="P948">
        <v>40.81</v>
      </c>
      <c r="Q948">
        <v>7.5</v>
      </c>
      <c r="R948" s="8">
        <f t="shared" si="15"/>
        <v>43478</v>
      </c>
    </row>
    <row r="949" spans="1:18" x14ac:dyDescent="0.35">
      <c r="A949" t="s">
        <v>1204</v>
      </c>
      <c r="B949" t="s">
        <v>37</v>
      </c>
      <c r="C949" t="s">
        <v>38</v>
      </c>
      <c r="D949" t="s">
        <v>20</v>
      </c>
      <c r="E949" t="s">
        <v>42</v>
      </c>
      <c r="F949" t="s">
        <v>54</v>
      </c>
      <c r="G949">
        <v>23.64</v>
      </c>
      <c r="H949">
        <v>8</v>
      </c>
      <c r="I949">
        <v>9.4600000000000009</v>
      </c>
      <c r="J949">
        <v>198.58</v>
      </c>
      <c r="K949" t="s">
        <v>107</v>
      </c>
      <c r="L949" t="s">
        <v>473</v>
      </c>
      <c r="M949" t="s">
        <v>25</v>
      </c>
      <c r="N949">
        <v>189.12</v>
      </c>
      <c r="O949">
        <v>4.7618999999999998</v>
      </c>
      <c r="P949">
        <v>9.4600000000000009</v>
      </c>
      <c r="Q949">
        <v>5.4</v>
      </c>
      <c r="R949" s="8">
        <f t="shared" si="15"/>
        <v>43476</v>
      </c>
    </row>
    <row r="950" spans="1:18" x14ac:dyDescent="0.35">
      <c r="A950" t="s">
        <v>1205</v>
      </c>
      <c r="B950" t="s">
        <v>18</v>
      </c>
      <c r="C950" t="s">
        <v>19</v>
      </c>
      <c r="D950" t="s">
        <v>20</v>
      </c>
      <c r="E950" t="s">
        <v>21</v>
      </c>
      <c r="F950" t="s">
        <v>50</v>
      </c>
      <c r="G950">
        <v>56.47</v>
      </c>
      <c r="H950">
        <v>10</v>
      </c>
      <c r="I950">
        <v>28.24</v>
      </c>
      <c r="J950">
        <v>592.94000000000005</v>
      </c>
      <c r="K950" t="s">
        <v>276</v>
      </c>
      <c r="L950" t="s">
        <v>297</v>
      </c>
      <c r="M950" t="s">
        <v>35</v>
      </c>
      <c r="N950">
        <v>564.70000000000005</v>
      </c>
      <c r="O950">
        <v>4.7618999999999998</v>
      </c>
      <c r="P950">
        <v>28.24</v>
      </c>
      <c r="Q950">
        <v>8.6999999999999993</v>
      </c>
      <c r="R950" s="8">
        <f t="shared" si="15"/>
        <v>43549</v>
      </c>
    </row>
    <row r="951" spans="1:18" x14ac:dyDescent="0.35">
      <c r="A951" t="s">
        <v>1206</v>
      </c>
      <c r="B951" t="s">
        <v>37</v>
      </c>
      <c r="C951" t="s">
        <v>38</v>
      </c>
      <c r="D951" t="s">
        <v>27</v>
      </c>
      <c r="E951" t="s">
        <v>42</v>
      </c>
      <c r="F951" t="s">
        <v>28</v>
      </c>
      <c r="G951">
        <v>90.16</v>
      </c>
      <c r="H951">
        <v>7</v>
      </c>
      <c r="I951">
        <v>31.56</v>
      </c>
      <c r="J951">
        <v>662.68</v>
      </c>
      <c r="K951" t="s">
        <v>164</v>
      </c>
      <c r="L951" t="s">
        <v>348</v>
      </c>
      <c r="M951" t="s">
        <v>25</v>
      </c>
      <c r="N951">
        <v>631.12</v>
      </c>
      <c r="O951">
        <v>4.7618999999999998</v>
      </c>
      <c r="P951">
        <v>31.56</v>
      </c>
      <c r="Q951">
        <v>4.4000000000000004</v>
      </c>
      <c r="R951" s="8">
        <f t="shared" si="15"/>
        <v>43496</v>
      </c>
    </row>
    <row r="952" spans="1:18" x14ac:dyDescent="0.35">
      <c r="A952" t="s">
        <v>1207</v>
      </c>
      <c r="B952" t="s">
        <v>18</v>
      </c>
      <c r="C952" t="s">
        <v>19</v>
      </c>
      <c r="D952" t="s">
        <v>27</v>
      </c>
      <c r="E952" t="s">
        <v>21</v>
      </c>
      <c r="F952" t="s">
        <v>28</v>
      </c>
      <c r="G952">
        <v>22.84</v>
      </c>
      <c r="H952">
        <v>5</v>
      </c>
      <c r="I952">
        <v>5.71</v>
      </c>
      <c r="J952">
        <v>119.91</v>
      </c>
      <c r="K952" t="s">
        <v>116</v>
      </c>
      <c r="L952" t="s">
        <v>180</v>
      </c>
      <c r="M952" t="s">
        <v>45</v>
      </c>
      <c r="N952">
        <v>114.2</v>
      </c>
      <c r="O952">
        <v>4.7618999999999998</v>
      </c>
      <c r="P952">
        <v>5.71</v>
      </c>
      <c r="Q952">
        <v>6.7</v>
      </c>
      <c r="R952" s="8">
        <f t="shared" si="15"/>
        <v>43536</v>
      </c>
    </row>
    <row r="953" spans="1:18" x14ac:dyDescent="0.35">
      <c r="A953" t="s">
        <v>1208</v>
      </c>
      <c r="B953" t="s">
        <v>37</v>
      </c>
      <c r="C953" t="s">
        <v>38</v>
      </c>
      <c r="D953" t="s">
        <v>20</v>
      </c>
      <c r="E953" t="s">
        <v>21</v>
      </c>
      <c r="F953" t="s">
        <v>61</v>
      </c>
      <c r="G953">
        <v>61.89</v>
      </c>
      <c r="H953">
        <v>6</v>
      </c>
      <c r="I953">
        <v>18.57</v>
      </c>
      <c r="J953">
        <v>389.91</v>
      </c>
      <c r="K953" t="s">
        <v>96</v>
      </c>
      <c r="L953" t="s">
        <v>463</v>
      </c>
      <c r="M953" t="s">
        <v>25</v>
      </c>
      <c r="N953">
        <v>371.34</v>
      </c>
      <c r="O953">
        <v>4.7618999999999998</v>
      </c>
      <c r="P953">
        <v>18.57</v>
      </c>
      <c r="Q953">
        <v>8.6</v>
      </c>
      <c r="R953" s="8">
        <f t="shared" si="15"/>
        <v>43477</v>
      </c>
    </row>
    <row r="954" spans="1:18" x14ac:dyDescent="0.35">
      <c r="A954" t="s">
        <v>1209</v>
      </c>
      <c r="B954" t="s">
        <v>37</v>
      </c>
      <c r="C954" t="s">
        <v>38</v>
      </c>
      <c r="D954" t="s">
        <v>27</v>
      </c>
      <c r="E954" t="s">
        <v>42</v>
      </c>
      <c r="F954" t="s">
        <v>22</v>
      </c>
      <c r="G954">
        <v>93.17</v>
      </c>
      <c r="H954">
        <v>2</v>
      </c>
      <c r="I954">
        <v>9.32</v>
      </c>
      <c r="J954">
        <v>195.66</v>
      </c>
      <c r="K954" t="s">
        <v>526</v>
      </c>
      <c r="L954" t="s">
        <v>334</v>
      </c>
      <c r="M954" t="s">
        <v>35</v>
      </c>
      <c r="N954">
        <v>186.34</v>
      </c>
      <c r="O954">
        <v>4.7618999999999998</v>
      </c>
      <c r="P954">
        <v>9.32</v>
      </c>
      <c r="Q954">
        <v>9.1999999999999993</v>
      </c>
      <c r="R954" s="8">
        <f t="shared" si="15"/>
        <v>43538</v>
      </c>
    </row>
    <row r="955" spans="1:18" x14ac:dyDescent="0.35">
      <c r="A955" t="s">
        <v>1210</v>
      </c>
      <c r="B955" t="s">
        <v>37</v>
      </c>
      <c r="C955" t="s">
        <v>38</v>
      </c>
      <c r="D955" t="s">
        <v>20</v>
      </c>
      <c r="E955" t="s">
        <v>42</v>
      </c>
      <c r="F955" t="s">
        <v>61</v>
      </c>
      <c r="G955">
        <v>56.12</v>
      </c>
      <c r="H955">
        <v>10</v>
      </c>
      <c r="I955">
        <v>28.06</v>
      </c>
      <c r="J955">
        <v>589.26</v>
      </c>
      <c r="K955" t="s">
        <v>251</v>
      </c>
      <c r="L955" t="s">
        <v>270</v>
      </c>
      <c r="M955" t="s">
        <v>25</v>
      </c>
      <c r="N955">
        <v>561.20000000000005</v>
      </c>
      <c r="O955">
        <v>4.7618999999999998</v>
      </c>
      <c r="P955">
        <v>28.06</v>
      </c>
      <c r="Q955">
        <v>6.5</v>
      </c>
      <c r="R955" s="8">
        <f t="shared" si="15"/>
        <v>43506</v>
      </c>
    </row>
    <row r="956" spans="1:18" x14ac:dyDescent="0.35">
      <c r="A956" t="s">
        <v>1211</v>
      </c>
      <c r="B956" t="s">
        <v>37</v>
      </c>
      <c r="C956" t="s">
        <v>38</v>
      </c>
      <c r="D956" t="s">
        <v>20</v>
      </c>
      <c r="E956" t="s">
        <v>21</v>
      </c>
      <c r="F956" t="s">
        <v>22</v>
      </c>
      <c r="G956">
        <v>81.150000000000006</v>
      </c>
      <c r="H956">
        <v>9</v>
      </c>
      <c r="I956">
        <v>36.520000000000003</v>
      </c>
      <c r="J956">
        <v>766.87</v>
      </c>
      <c r="K956" t="s">
        <v>415</v>
      </c>
      <c r="L956" t="s">
        <v>219</v>
      </c>
      <c r="M956" t="s">
        <v>35</v>
      </c>
      <c r="N956">
        <v>730.35</v>
      </c>
      <c r="O956">
        <v>4.7618999999999998</v>
      </c>
      <c r="P956">
        <v>36.520000000000003</v>
      </c>
      <c r="Q956">
        <v>6.3</v>
      </c>
      <c r="R956" s="8">
        <f t="shared" si="15"/>
        <v>43467</v>
      </c>
    </row>
    <row r="957" spans="1:18" x14ac:dyDescent="0.35">
      <c r="A957" t="s">
        <v>1212</v>
      </c>
      <c r="B957" t="s">
        <v>37</v>
      </c>
      <c r="C957" t="s">
        <v>38</v>
      </c>
      <c r="D957" t="s">
        <v>20</v>
      </c>
      <c r="E957" t="s">
        <v>21</v>
      </c>
      <c r="F957" t="s">
        <v>32</v>
      </c>
      <c r="G957">
        <v>88.67</v>
      </c>
      <c r="H957">
        <v>2</v>
      </c>
      <c r="I957">
        <v>8.8699999999999992</v>
      </c>
      <c r="J957">
        <v>186.21</v>
      </c>
      <c r="K957" t="s">
        <v>315</v>
      </c>
      <c r="L957" t="s">
        <v>732</v>
      </c>
      <c r="M957" t="s">
        <v>25</v>
      </c>
      <c r="N957">
        <v>177.34</v>
      </c>
      <c r="O957">
        <v>4.7618999999999998</v>
      </c>
      <c r="P957">
        <v>8.8699999999999992</v>
      </c>
      <c r="Q957">
        <v>7.2</v>
      </c>
      <c r="R957" s="8">
        <f t="shared" si="15"/>
        <v>43510</v>
      </c>
    </row>
    <row r="958" spans="1:18" x14ac:dyDescent="0.35">
      <c r="A958" t="s">
        <v>1213</v>
      </c>
      <c r="B958" t="s">
        <v>37</v>
      </c>
      <c r="C958" t="s">
        <v>38</v>
      </c>
      <c r="D958" t="s">
        <v>20</v>
      </c>
      <c r="E958" t="s">
        <v>21</v>
      </c>
      <c r="F958" t="s">
        <v>54</v>
      </c>
      <c r="G958">
        <v>75.86</v>
      </c>
      <c r="H958">
        <v>7</v>
      </c>
      <c r="I958">
        <v>26.55</v>
      </c>
      <c r="J958">
        <v>557.57000000000005</v>
      </c>
      <c r="K958" t="s">
        <v>70</v>
      </c>
      <c r="L958" t="s">
        <v>301</v>
      </c>
      <c r="M958" t="s">
        <v>35</v>
      </c>
      <c r="N958">
        <v>531.02</v>
      </c>
      <c r="O958">
        <v>4.7618999999999998</v>
      </c>
      <c r="P958">
        <v>26.55</v>
      </c>
      <c r="Q958">
        <v>4.4000000000000004</v>
      </c>
      <c r="R958" s="8">
        <f t="shared" si="15"/>
        <v>43521</v>
      </c>
    </row>
    <row r="959" spans="1:18" x14ac:dyDescent="0.35">
      <c r="A959" t="s">
        <v>1214</v>
      </c>
      <c r="B959" t="s">
        <v>18</v>
      </c>
      <c r="C959" t="s">
        <v>19</v>
      </c>
      <c r="D959" t="s">
        <v>27</v>
      </c>
      <c r="E959" t="s">
        <v>21</v>
      </c>
      <c r="F959" t="s">
        <v>22</v>
      </c>
      <c r="G959">
        <v>76.72</v>
      </c>
      <c r="H959">
        <v>2</v>
      </c>
      <c r="I959">
        <v>7.67</v>
      </c>
      <c r="J959">
        <v>161.11000000000001</v>
      </c>
      <c r="K959" t="s">
        <v>136</v>
      </c>
      <c r="L959" t="s">
        <v>334</v>
      </c>
      <c r="M959" t="s">
        <v>25</v>
      </c>
      <c r="N959">
        <v>153.44</v>
      </c>
      <c r="O959">
        <v>4.7618999999999998</v>
      </c>
      <c r="P959">
        <v>7.67</v>
      </c>
      <c r="Q959">
        <v>4.9000000000000004</v>
      </c>
      <c r="R959" s="8">
        <f t="shared" si="15"/>
        <v>43501</v>
      </c>
    </row>
    <row r="960" spans="1:18" x14ac:dyDescent="0.35">
      <c r="A960" t="s">
        <v>1215</v>
      </c>
      <c r="B960" t="s">
        <v>68</v>
      </c>
      <c r="C960" t="s">
        <v>69</v>
      </c>
      <c r="D960" t="s">
        <v>20</v>
      </c>
      <c r="E960" t="s">
        <v>42</v>
      </c>
      <c r="F960" t="s">
        <v>50</v>
      </c>
      <c r="G960">
        <v>12.82</v>
      </c>
      <c r="H960">
        <v>10</v>
      </c>
      <c r="I960">
        <v>6.41</v>
      </c>
      <c r="J960">
        <v>134.61000000000001</v>
      </c>
      <c r="K960" t="s">
        <v>425</v>
      </c>
      <c r="L960" t="s">
        <v>284</v>
      </c>
      <c r="M960" t="s">
        <v>35</v>
      </c>
      <c r="N960">
        <v>128.19999999999999</v>
      </c>
      <c r="O960">
        <v>4.7618999999999998</v>
      </c>
      <c r="P960">
        <v>6.41</v>
      </c>
      <c r="Q960">
        <v>9.9</v>
      </c>
      <c r="R960" s="8">
        <f t="shared" si="15"/>
        <v>43514</v>
      </c>
    </row>
    <row r="961" spans="1:18" x14ac:dyDescent="0.35">
      <c r="A961" t="s">
        <v>1216</v>
      </c>
      <c r="B961" t="s">
        <v>68</v>
      </c>
      <c r="C961" t="s">
        <v>69</v>
      </c>
      <c r="D961" t="s">
        <v>20</v>
      </c>
      <c r="E961" t="s">
        <v>21</v>
      </c>
      <c r="F961" t="s">
        <v>22</v>
      </c>
      <c r="G961">
        <v>48.06</v>
      </c>
      <c r="H961">
        <v>5</v>
      </c>
      <c r="I961">
        <v>12.02</v>
      </c>
      <c r="J961">
        <v>252.32</v>
      </c>
      <c r="K961" t="s">
        <v>47</v>
      </c>
      <c r="L961" t="s">
        <v>219</v>
      </c>
      <c r="M961" t="s">
        <v>45</v>
      </c>
      <c r="N961">
        <v>240.3</v>
      </c>
      <c r="O961">
        <v>4.7618999999999998</v>
      </c>
      <c r="P961">
        <v>12.02</v>
      </c>
      <c r="Q961">
        <v>4.4000000000000004</v>
      </c>
      <c r="R961" s="8">
        <f t="shared" si="15"/>
        <v>43547</v>
      </c>
    </row>
    <row r="962" spans="1:18" x14ac:dyDescent="0.35">
      <c r="A962" t="s">
        <v>1217</v>
      </c>
      <c r="B962" t="s">
        <v>68</v>
      </c>
      <c r="C962" t="s">
        <v>69</v>
      </c>
      <c r="D962" t="s">
        <v>27</v>
      </c>
      <c r="E962" t="s">
        <v>42</v>
      </c>
      <c r="F962" t="s">
        <v>32</v>
      </c>
      <c r="G962">
        <v>57.23</v>
      </c>
      <c r="H962">
        <v>5</v>
      </c>
      <c r="I962">
        <v>14.31</v>
      </c>
      <c r="J962">
        <v>300.45999999999998</v>
      </c>
      <c r="K962" t="s">
        <v>93</v>
      </c>
      <c r="L962" t="s">
        <v>122</v>
      </c>
      <c r="M962" t="s">
        <v>35</v>
      </c>
      <c r="N962">
        <v>286.14999999999998</v>
      </c>
      <c r="O962">
        <v>4.7618999999999998</v>
      </c>
      <c r="P962">
        <v>14.31</v>
      </c>
      <c r="Q962">
        <v>6.1</v>
      </c>
      <c r="R962" s="8">
        <f t="shared" si="15"/>
        <v>43489</v>
      </c>
    </row>
    <row r="963" spans="1:18" x14ac:dyDescent="0.35">
      <c r="A963" t="s">
        <v>1218</v>
      </c>
      <c r="B963" t="s">
        <v>37</v>
      </c>
      <c r="C963" t="s">
        <v>38</v>
      </c>
      <c r="D963" t="s">
        <v>20</v>
      </c>
      <c r="E963" t="s">
        <v>21</v>
      </c>
      <c r="F963" t="s">
        <v>61</v>
      </c>
      <c r="G963">
        <v>94.77</v>
      </c>
      <c r="H963">
        <v>8</v>
      </c>
      <c r="I963">
        <v>37.909999999999997</v>
      </c>
      <c r="J963">
        <v>796.07</v>
      </c>
      <c r="K963" t="s">
        <v>226</v>
      </c>
      <c r="L963" t="s">
        <v>625</v>
      </c>
      <c r="M963" t="s">
        <v>45</v>
      </c>
      <c r="N963">
        <v>758.16</v>
      </c>
      <c r="O963">
        <v>4.7618999999999998</v>
      </c>
      <c r="P963">
        <v>37.909999999999997</v>
      </c>
      <c r="Q963">
        <v>9.8000000000000007</v>
      </c>
      <c r="R963" s="8">
        <f t="shared" si="15"/>
        <v>43526</v>
      </c>
    </row>
    <row r="964" spans="1:18" x14ac:dyDescent="0.35">
      <c r="A964" t="s">
        <v>1219</v>
      </c>
      <c r="B964" t="s">
        <v>37</v>
      </c>
      <c r="C964" t="s">
        <v>38</v>
      </c>
      <c r="D964" t="s">
        <v>27</v>
      </c>
      <c r="E964" t="s">
        <v>21</v>
      </c>
      <c r="F964" t="s">
        <v>50</v>
      </c>
      <c r="G964">
        <v>80.48</v>
      </c>
      <c r="H964">
        <v>10</v>
      </c>
      <c r="I964">
        <v>40.24</v>
      </c>
      <c r="J964">
        <v>845.04</v>
      </c>
      <c r="K964" t="s">
        <v>133</v>
      </c>
      <c r="L964" t="s">
        <v>342</v>
      </c>
      <c r="M964" t="s">
        <v>25</v>
      </c>
      <c r="N964">
        <v>804.8</v>
      </c>
      <c r="O964">
        <v>4.7618999999999998</v>
      </c>
      <c r="P964">
        <v>40.24</v>
      </c>
      <c r="Q964">
        <v>7.5</v>
      </c>
      <c r="R964" s="8">
        <f t="shared" si="15"/>
        <v>43491</v>
      </c>
    </row>
    <row r="965" spans="1:18" x14ac:dyDescent="0.35">
      <c r="A965" t="s">
        <v>1220</v>
      </c>
      <c r="B965" t="s">
        <v>37</v>
      </c>
      <c r="C965" t="s">
        <v>38</v>
      </c>
      <c r="D965" t="s">
        <v>27</v>
      </c>
      <c r="E965" t="s">
        <v>21</v>
      </c>
      <c r="F965" t="s">
        <v>54</v>
      </c>
      <c r="G965">
        <v>90.69</v>
      </c>
      <c r="H965">
        <v>3</v>
      </c>
      <c r="I965">
        <v>13.6</v>
      </c>
      <c r="J965">
        <v>285.67</v>
      </c>
      <c r="K965" t="s">
        <v>521</v>
      </c>
      <c r="L965" t="s">
        <v>270</v>
      </c>
      <c r="M965" t="s">
        <v>25</v>
      </c>
      <c r="N965">
        <v>272.07</v>
      </c>
      <c r="O965">
        <v>4.7618999999999998</v>
      </c>
      <c r="P965">
        <v>13.6</v>
      </c>
      <c r="Q965">
        <v>6.4</v>
      </c>
      <c r="R965" s="8">
        <f t="shared" si="15"/>
        <v>43529</v>
      </c>
    </row>
    <row r="966" spans="1:18" x14ac:dyDescent="0.35">
      <c r="A966" t="s">
        <v>1221</v>
      </c>
      <c r="B966" t="s">
        <v>18</v>
      </c>
      <c r="C966" t="s">
        <v>19</v>
      </c>
      <c r="D966" t="s">
        <v>20</v>
      </c>
      <c r="E966" t="s">
        <v>42</v>
      </c>
      <c r="F966" t="s">
        <v>54</v>
      </c>
      <c r="G966">
        <v>67.09</v>
      </c>
      <c r="H966">
        <v>10</v>
      </c>
      <c r="I966">
        <v>33.549999999999997</v>
      </c>
      <c r="J966">
        <v>704.45</v>
      </c>
      <c r="K966" t="s">
        <v>405</v>
      </c>
      <c r="L966" t="s">
        <v>430</v>
      </c>
      <c r="M966" t="s">
        <v>25</v>
      </c>
      <c r="N966">
        <v>670.9</v>
      </c>
      <c r="O966">
        <v>4.7618999999999998</v>
      </c>
      <c r="P966">
        <v>33.549999999999997</v>
      </c>
      <c r="Q966">
        <v>9.9</v>
      </c>
      <c r="R966" s="8">
        <f t="shared" si="15"/>
        <v>43478</v>
      </c>
    </row>
    <row r="967" spans="1:18" x14ac:dyDescent="0.35">
      <c r="A967" t="s">
        <v>1222</v>
      </c>
      <c r="B967" t="s">
        <v>18</v>
      </c>
      <c r="C967" t="s">
        <v>19</v>
      </c>
      <c r="D967" t="s">
        <v>20</v>
      </c>
      <c r="E967" t="s">
        <v>42</v>
      </c>
      <c r="F967" t="s">
        <v>54</v>
      </c>
      <c r="G967">
        <v>41.33</v>
      </c>
      <c r="H967">
        <v>4</v>
      </c>
      <c r="I967">
        <v>8.27</v>
      </c>
      <c r="J967">
        <v>173.59</v>
      </c>
      <c r="K967" t="s">
        <v>274</v>
      </c>
      <c r="L967" t="s">
        <v>30</v>
      </c>
      <c r="M967" t="s">
        <v>35</v>
      </c>
      <c r="N967">
        <v>165.32</v>
      </c>
      <c r="O967">
        <v>4.7618999999999998</v>
      </c>
      <c r="P967">
        <v>8.27</v>
      </c>
      <c r="Q967">
        <v>8.9</v>
      </c>
      <c r="R967" s="8">
        <f t="shared" si="15"/>
        <v>43552</v>
      </c>
    </row>
    <row r="968" spans="1:18" x14ac:dyDescent="0.35">
      <c r="A968" t="s">
        <v>1223</v>
      </c>
      <c r="B968" t="s">
        <v>37</v>
      </c>
      <c r="C968" t="s">
        <v>38</v>
      </c>
      <c r="D968" t="s">
        <v>27</v>
      </c>
      <c r="E968" t="s">
        <v>21</v>
      </c>
      <c r="F968" t="s">
        <v>22</v>
      </c>
      <c r="G968">
        <v>54.92</v>
      </c>
      <c r="H968">
        <v>8</v>
      </c>
      <c r="I968">
        <v>21.97</v>
      </c>
      <c r="J968">
        <v>461.33</v>
      </c>
      <c r="K968" t="s">
        <v>130</v>
      </c>
      <c r="L968" t="s">
        <v>34</v>
      </c>
      <c r="M968" t="s">
        <v>35</v>
      </c>
      <c r="N968">
        <v>439.36</v>
      </c>
      <c r="O968">
        <v>4.7618999999999998</v>
      </c>
      <c r="P968">
        <v>21.97</v>
      </c>
      <c r="Q968">
        <v>9</v>
      </c>
      <c r="R968" s="8">
        <f t="shared" si="15"/>
        <v>43518</v>
      </c>
    </row>
    <row r="969" spans="1:18" x14ac:dyDescent="0.35">
      <c r="A969" t="s">
        <v>1224</v>
      </c>
      <c r="B969" t="s">
        <v>18</v>
      </c>
      <c r="C969" t="s">
        <v>19</v>
      </c>
      <c r="D969" t="s">
        <v>27</v>
      </c>
      <c r="E969" t="s">
        <v>21</v>
      </c>
      <c r="F969" t="s">
        <v>54</v>
      </c>
      <c r="G969">
        <v>51.29</v>
      </c>
      <c r="H969">
        <v>6</v>
      </c>
      <c r="I969">
        <v>15.39</v>
      </c>
      <c r="J969">
        <v>323.13</v>
      </c>
      <c r="K969" t="s">
        <v>139</v>
      </c>
      <c r="L969" t="s">
        <v>73</v>
      </c>
      <c r="M969" t="s">
        <v>45</v>
      </c>
      <c r="N969">
        <v>307.74</v>
      </c>
      <c r="O969">
        <v>4.7618999999999998</v>
      </c>
      <c r="P969">
        <v>15.39</v>
      </c>
      <c r="Q969">
        <v>7.3</v>
      </c>
      <c r="R969" s="8">
        <f t="shared" si="15"/>
        <v>43488</v>
      </c>
    </row>
    <row r="970" spans="1:18" x14ac:dyDescent="0.35">
      <c r="A970" t="s">
        <v>1225</v>
      </c>
      <c r="B970" t="s">
        <v>37</v>
      </c>
      <c r="C970" t="s">
        <v>38</v>
      </c>
      <c r="D970" t="s">
        <v>27</v>
      </c>
      <c r="E970" t="s">
        <v>42</v>
      </c>
      <c r="F970" t="s">
        <v>22</v>
      </c>
      <c r="G970">
        <v>65.83</v>
      </c>
      <c r="H970">
        <v>2</v>
      </c>
      <c r="I970">
        <v>6.58</v>
      </c>
      <c r="J970">
        <v>138.24</v>
      </c>
      <c r="K970" t="s">
        <v>96</v>
      </c>
      <c r="L970" t="s">
        <v>88</v>
      </c>
      <c r="M970" t="s">
        <v>25</v>
      </c>
      <c r="N970">
        <v>131.66</v>
      </c>
      <c r="O970">
        <v>4.7618999999999998</v>
      </c>
      <c r="P970">
        <v>6.58</v>
      </c>
      <c r="Q970">
        <v>4.0999999999999996</v>
      </c>
      <c r="R970" s="8">
        <f t="shared" si="15"/>
        <v>43477</v>
      </c>
    </row>
    <row r="971" spans="1:18" x14ac:dyDescent="0.35">
      <c r="A971" t="s">
        <v>1226</v>
      </c>
      <c r="B971" t="s">
        <v>68</v>
      </c>
      <c r="C971" t="s">
        <v>69</v>
      </c>
      <c r="D971" t="s">
        <v>27</v>
      </c>
      <c r="E971" t="s">
        <v>21</v>
      </c>
      <c r="F971" t="s">
        <v>22</v>
      </c>
      <c r="G971">
        <v>49.97</v>
      </c>
      <c r="H971">
        <v>10</v>
      </c>
      <c r="I971">
        <v>24.98</v>
      </c>
      <c r="J971">
        <v>524.67999999999995</v>
      </c>
      <c r="K971" t="s">
        <v>231</v>
      </c>
      <c r="L971" t="s">
        <v>110</v>
      </c>
      <c r="M971" t="s">
        <v>35</v>
      </c>
      <c r="N971">
        <v>499.7</v>
      </c>
      <c r="O971">
        <v>4.7618999999999998</v>
      </c>
      <c r="P971">
        <v>24.98</v>
      </c>
      <c r="Q971">
        <v>5.3</v>
      </c>
      <c r="R971" s="8">
        <f t="shared" si="15"/>
        <v>43470</v>
      </c>
    </row>
    <row r="972" spans="1:18" x14ac:dyDescent="0.35">
      <c r="A972" t="s">
        <v>1227</v>
      </c>
      <c r="B972" t="s">
        <v>37</v>
      </c>
      <c r="C972" t="s">
        <v>38</v>
      </c>
      <c r="D972" t="s">
        <v>27</v>
      </c>
      <c r="E972" t="s">
        <v>21</v>
      </c>
      <c r="F972" t="s">
        <v>54</v>
      </c>
      <c r="G972">
        <v>87.07</v>
      </c>
      <c r="H972">
        <v>2</v>
      </c>
      <c r="I972">
        <v>8.7100000000000009</v>
      </c>
      <c r="J972">
        <v>182.85</v>
      </c>
      <c r="K972" t="s">
        <v>315</v>
      </c>
      <c r="L972" t="s">
        <v>307</v>
      </c>
      <c r="M972" t="s">
        <v>25</v>
      </c>
      <c r="N972">
        <v>174.14</v>
      </c>
      <c r="O972">
        <v>4.7618999999999998</v>
      </c>
      <c r="P972">
        <v>8.7100000000000009</v>
      </c>
      <c r="Q972">
        <v>8.1999999999999993</v>
      </c>
      <c r="R972" s="8">
        <f t="shared" si="15"/>
        <v>43510</v>
      </c>
    </row>
    <row r="973" spans="1:18" x14ac:dyDescent="0.35">
      <c r="A973" t="s">
        <v>1228</v>
      </c>
      <c r="B973" t="s">
        <v>37</v>
      </c>
      <c r="C973" t="s">
        <v>38</v>
      </c>
      <c r="D973" t="s">
        <v>20</v>
      </c>
      <c r="E973" t="s">
        <v>42</v>
      </c>
      <c r="F973" t="s">
        <v>54</v>
      </c>
      <c r="G973">
        <v>55.68</v>
      </c>
      <c r="H973">
        <v>5</v>
      </c>
      <c r="I973">
        <v>13.92</v>
      </c>
      <c r="J973">
        <v>292.32</v>
      </c>
      <c r="K973" t="s">
        <v>78</v>
      </c>
      <c r="L973" t="s">
        <v>203</v>
      </c>
      <c r="M973" t="s">
        <v>35</v>
      </c>
      <c r="N973">
        <v>278.39999999999998</v>
      </c>
      <c r="O973">
        <v>4.7618999999999998</v>
      </c>
      <c r="P973">
        <v>13.92</v>
      </c>
      <c r="Q973">
        <v>8</v>
      </c>
      <c r="R973" s="8">
        <f t="shared" si="15"/>
        <v>43550</v>
      </c>
    </row>
    <row r="974" spans="1:18" x14ac:dyDescent="0.35">
      <c r="A974" t="s">
        <v>1229</v>
      </c>
      <c r="B974" t="s">
        <v>37</v>
      </c>
      <c r="C974" t="s">
        <v>38</v>
      </c>
      <c r="D974" t="s">
        <v>20</v>
      </c>
      <c r="E974" t="s">
        <v>21</v>
      </c>
      <c r="F974" t="s">
        <v>28</v>
      </c>
      <c r="G974">
        <v>23.8</v>
      </c>
      <c r="H974">
        <v>6</v>
      </c>
      <c r="I974">
        <v>7.14</v>
      </c>
      <c r="J974">
        <v>149.94</v>
      </c>
      <c r="K974" t="s">
        <v>339</v>
      </c>
      <c r="L974" t="s">
        <v>248</v>
      </c>
      <c r="M974" t="s">
        <v>35</v>
      </c>
      <c r="N974">
        <v>142.80000000000001</v>
      </c>
      <c r="O974">
        <v>4.7618999999999998</v>
      </c>
      <c r="P974">
        <v>7.14</v>
      </c>
      <c r="Q974">
        <v>5</v>
      </c>
      <c r="R974" s="8">
        <f t="shared" si="15"/>
        <v>43532</v>
      </c>
    </row>
    <row r="975" spans="1:18" x14ac:dyDescent="0.35">
      <c r="A975" t="s">
        <v>1230</v>
      </c>
      <c r="B975" t="s">
        <v>37</v>
      </c>
      <c r="C975" t="s">
        <v>38</v>
      </c>
      <c r="D975" t="s">
        <v>20</v>
      </c>
      <c r="E975" t="s">
        <v>42</v>
      </c>
      <c r="F975" t="s">
        <v>54</v>
      </c>
      <c r="G975">
        <v>65.459999999999994</v>
      </c>
      <c r="H975">
        <v>7</v>
      </c>
      <c r="I975">
        <v>22.91</v>
      </c>
      <c r="J975">
        <v>481.13</v>
      </c>
      <c r="K975" t="s">
        <v>387</v>
      </c>
      <c r="L975" t="s">
        <v>171</v>
      </c>
      <c r="M975" t="s">
        <v>45</v>
      </c>
      <c r="N975">
        <v>458.22</v>
      </c>
      <c r="O975">
        <v>4.7618999999999998</v>
      </c>
      <c r="P975">
        <v>22.91</v>
      </c>
      <c r="Q975">
        <v>9.6</v>
      </c>
      <c r="R975" s="8">
        <f t="shared" si="15"/>
        <v>43472</v>
      </c>
    </row>
    <row r="976" spans="1:18" x14ac:dyDescent="0.35">
      <c r="A976" t="s">
        <v>1231</v>
      </c>
      <c r="B976" t="s">
        <v>18</v>
      </c>
      <c r="C976" t="s">
        <v>19</v>
      </c>
      <c r="D976" t="s">
        <v>20</v>
      </c>
      <c r="E976" t="s">
        <v>42</v>
      </c>
      <c r="F976" t="s">
        <v>61</v>
      </c>
      <c r="G976">
        <v>56.55</v>
      </c>
      <c r="H976">
        <v>7</v>
      </c>
      <c r="I976">
        <v>19.79</v>
      </c>
      <c r="J976">
        <v>415.64</v>
      </c>
      <c r="K976" t="s">
        <v>253</v>
      </c>
      <c r="L976" t="s">
        <v>342</v>
      </c>
      <c r="M976" t="s">
        <v>45</v>
      </c>
      <c r="N976">
        <v>395.85</v>
      </c>
      <c r="O976">
        <v>4.7618999999999998</v>
      </c>
      <c r="P976">
        <v>19.79</v>
      </c>
      <c r="Q976">
        <v>7</v>
      </c>
      <c r="R976" s="8">
        <f t="shared" si="15"/>
        <v>43495</v>
      </c>
    </row>
    <row r="977" spans="1:18" x14ac:dyDescent="0.35">
      <c r="A977" t="s">
        <v>1232</v>
      </c>
      <c r="B977" t="s">
        <v>18</v>
      </c>
      <c r="C977" t="s">
        <v>19</v>
      </c>
      <c r="D977" t="s">
        <v>27</v>
      </c>
      <c r="E977" t="s">
        <v>42</v>
      </c>
      <c r="F977" t="s">
        <v>50</v>
      </c>
      <c r="G977">
        <v>24.31</v>
      </c>
      <c r="H977">
        <v>6</v>
      </c>
      <c r="I977">
        <v>7.29</v>
      </c>
      <c r="J977">
        <v>153.15</v>
      </c>
      <c r="K977" t="s">
        <v>479</v>
      </c>
      <c r="L977" t="s">
        <v>88</v>
      </c>
      <c r="M977" t="s">
        <v>45</v>
      </c>
      <c r="N977">
        <v>145.86000000000001</v>
      </c>
      <c r="O977">
        <v>4.7618999999999998</v>
      </c>
      <c r="P977">
        <v>7.29</v>
      </c>
      <c r="Q977">
        <v>6.6</v>
      </c>
      <c r="R977" s="8">
        <f t="shared" si="15"/>
        <v>43492</v>
      </c>
    </row>
    <row r="978" spans="1:18" x14ac:dyDescent="0.35">
      <c r="A978" t="s">
        <v>1233</v>
      </c>
      <c r="B978" t="s">
        <v>18</v>
      </c>
      <c r="C978" t="s">
        <v>19</v>
      </c>
      <c r="D978" t="s">
        <v>20</v>
      </c>
      <c r="E978" t="s">
        <v>21</v>
      </c>
      <c r="F978" t="s">
        <v>50</v>
      </c>
      <c r="G978">
        <v>73.680000000000007</v>
      </c>
      <c r="H978">
        <v>2</v>
      </c>
      <c r="I978">
        <v>7.37</v>
      </c>
      <c r="J978">
        <v>154.72999999999999</v>
      </c>
      <c r="K978" t="s">
        <v>43</v>
      </c>
      <c r="L978" t="s">
        <v>627</v>
      </c>
      <c r="M978" t="s">
        <v>25</v>
      </c>
      <c r="N978">
        <v>147.36000000000001</v>
      </c>
      <c r="O978">
        <v>4.7618999999999998</v>
      </c>
      <c r="P978">
        <v>7.37</v>
      </c>
      <c r="Q978">
        <v>8.4</v>
      </c>
      <c r="R978" s="8">
        <f t="shared" si="15"/>
        <v>43539</v>
      </c>
    </row>
    <row r="979" spans="1:18" x14ac:dyDescent="0.35">
      <c r="A979" t="s">
        <v>1234</v>
      </c>
      <c r="B979" t="s">
        <v>18</v>
      </c>
      <c r="C979" t="s">
        <v>19</v>
      </c>
      <c r="D979" t="s">
        <v>27</v>
      </c>
      <c r="E979" t="s">
        <v>21</v>
      </c>
      <c r="F979" t="s">
        <v>54</v>
      </c>
      <c r="G979">
        <v>68.73</v>
      </c>
      <c r="H979">
        <v>4</v>
      </c>
      <c r="I979">
        <v>13.75</v>
      </c>
      <c r="J979">
        <v>288.67</v>
      </c>
      <c r="K979" t="s">
        <v>113</v>
      </c>
      <c r="L979" t="s">
        <v>432</v>
      </c>
      <c r="M979" t="s">
        <v>45</v>
      </c>
      <c r="N979">
        <v>274.92</v>
      </c>
      <c r="O979">
        <v>4.7618999999999998</v>
      </c>
      <c r="P979">
        <v>13.75</v>
      </c>
      <c r="Q979">
        <v>8.4</v>
      </c>
      <c r="R979" s="8">
        <f t="shared" si="15"/>
        <v>43504</v>
      </c>
    </row>
    <row r="980" spans="1:18" x14ac:dyDescent="0.35">
      <c r="A980" t="s">
        <v>1235</v>
      </c>
      <c r="B980" t="s">
        <v>37</v>
      </c>
      <c r="C980" t="s">
        <v>38</v>
      </c>
      <c r="D980" t="s">
        <v>27</v>
      </c>
      <c r="E980" t="s">
        <v>21</v>
      </c>
      <c r="F980" t="s">
        <v>61</v>
      </c>
      <c r="G980">
        <v>17.47</v>
      </c>
      <c r="H980">
        <v>3</v>
      </c>
      <c r="I980">
        <v>2.62</v>
      </c>
      <c r="J980">
        <v>55.03</v>
      </c>
      <c r="K980" t="s">
        <v>264</v>
      </c>
      <c r="L980" t="s">
        <v>236</v>
      </c>
      <c r="M980" t="s">
        <v>25</v>
      </c>
      <c r="N980">
        <v>52.41</v>
      </c>
      <c r="O980">
        <v>4.7618999999999998</v>
      </c>
      <c r="P980">
        <v>2.62</v>
      </c>
      <c r="Q980">
        <v>9.1999999999999993</v>
      </c>
      <c r="R980" s="8">
        <f t="shared" si="15"/>
        <v>43546</v>
      </c>
    </row>
    <row r="981" spans="1:18" x14ac:dyDescent="0.35">
      <c r="A981" t="s">
        <v>1236</v>
      </c>
      <c r="B981" t="s">
        <v>37</v>
      </c>
      <c r="C981" t="s">
        <v>38</v>
      </c>
      <c r="D981" t="s">
        <v>20</v>
      </c>
      <c r="E981" t="s">
        <v>21</v>
      </c>
      <c r="F981" t="s">
        <v>54</v>
      </c>
      <c r="G981">
        <v>35.42</v>
      </c>
      <c r="H981">
        <v>3</v>
      </c>
      <c r="I981">
        <v>5.31</v>
      </c>
      <c r="J981">
        <v>111.57</v>
      </c>
      <c r="K981" t="s">
        <v>96</v>
      </c>
      <c r="L981" t="s">
        <v>180</v>
      </c>
      <c r="M981" t="s">
        <v>35</v>
      </c>
      <c r="N981">
        <v>106.26</v>
      </c>
      <c r="O981">
        <v>4.7618999999999998</v>
      </c>
      <c r="P981">
        <v>5.31</v>
      </c>
      <c r="Q981">
        <v>9.5</v>
      </c>
      <c r="R981" s="8">
        <f t="shared" si="15"/>
        <v>43477</v>
      </c>
    </row>
    <row r="982" spans="1:18" x14ac:dyDescent="0.35">
      <c r="A982" t="s">
        <v>1237</v>
      </c>
      <c r="B982" t="s">
        <v>37</v>
      </c>
      <c r="C982" t="s">
        <v>38</v>
      </c>
      <c r="D982" t="s">
        <v>20</v>
      </c>
      <c r="E982" t="s">
        <v>42</v>
      </c>
      <c r="F982" t="s">
        <v>28</v>
      </c>
      <c r="G982">
        <v>47.24</v>
      </c>
      <c r="H982">
        <v>8</v>
      </c>
      <c r="I982">
        <v>18.899999999999999</v>
      </c>
      <c r="J982">
        <v>396.82</v>
      </c>
      <c r="K982" t="s">
        <v>264</v>
      </c>
      <c r="L982" t="s">
        <v>224</v>
      </c>
      <c r="M982" t="s">
        <v>25</v>
      </c>
      <c r="N982">
        <v>377.92</v>
      </c>
      <c r="O982">
        <v>4.7618999999999998</v>
      </c>
      <c r="P982">
        <v>18.899999999999999</v>
      </c>
      <c r="Q982">
        <v>6.5</v>
      </c>
      <c r="R982" s="8">
        <f t="shared" si="15"/>
        <v>43546</v>
      </c>
    </row>
    <row r="983" spans="1:18" x14ac:dyDescent="0.35">
      <c r="A983" t="s">
        <v>1238</v>
      </c>
      <c r="B983" t="s">
        <v>18</v>
      </c>
      <c r="C983" t="s">
        <v>19</v>
      </c>
      <c r="D983" t="s">
        <v>27</v>
      </c>
      <c r="E983" t="s">
        <v>21</v>
      </c>
      <c r="F983" t="s">
        <v>54</v>
      </c>
      <c r="G983">
        <v>36.89</v>
      </c>
      <c r="H983">
        <v>3</v>
      </c>
      <c r="I983">
        <v>5.53</v>
      </c>
      <c r="J983">
        <v>116.2</v>
      </c>
      <c r="K983" t="s">
        <v>78</v>
      </c>
      <c r="L983" t="s">
        <v>114</v>
      </c>
      <c r="M983" t="s">
        <v>25</v>
      </c>
      <c r="N983">
        <v>110.67</v>
      </c>
      <c r="O983">
        <v>4.7618999999999998</v>
      </c>
      <c r="P983">
        <v>5.53</v>
      </c>
      <c r="Q983">
        <v>9.1</v>
      </c>
      <c r="R983" s="8">
        <f t="shared" si="15"/>
        <v>43550</v>
      </c>
    </row>
    <row r="984" spans="1:18" x14ac:dyDescent="0.35">
      <c r="A984" t="s">
        <v>1239</v>
      </c>
      <c r="B984" t="s">
        <v>37</v>
      </c>
      <c r="C984" t="s">
        <v>38</v>
      </c>
      <c r="D984" t="s">
        <v>27</v>
      </c>
      <c r="E984" t="s">
        <v>42</v>
      </c>
      <c r="F984" t="s">
        <v>50</v>
      </c>
      <c r="G984">
        <v>64</v>
      </c>
      <c r="H984">
        <v>1</v>
      </c>
      <c r="I984">
        <v>3.2</v>
      </c>
      <c r="J984">
        <v>67.2</v>
      </c>
      <c r="K984" t="s">
        <v>33</v>
      </c>
      <c r="L984" t="s">
        <v>625</v>
      </c>
      <c r="M984" t="s">
        <v>35</v>
      </c>
      <c r="N984">
        <v>64</v>
      </c>
      <c r="O984">
        <v>4.7618999999999998</v>
      </c>
      <c r="P984">
        <v>3.2</v>
      </c>
      <c r="Q984">
        <v>9.6</v>
      </c>
      <c r="R984" s="8">
        <f t="shared" si="15"/>
        <v>43486</v>
      </c>
    </row>
    <row r="985" spans="1:18" x14ac:dyDescent="0.35">
      <c r="A985" t="s">
        <v>1240</v>
      </c>
      <c r="B985" t="s">
        <v>18</v>
      </c>
      <c r="C985" t="s">
        <v>19</v>
      </c>
      <c r="D985" t="s">
        <v>20</v>
      </c>
      <c r="E985" t="s">
        <v>21</v>
      </c>
      <c r="F985" t="s">
        <v>50</v>
      </c>
      <c r="G985">
        <v>56.06</v>
      </c>
      <c r="H985">
        <v>3</v>
      </c>
      <c r="I985">
        <v>8.41</v>
      </c>
      <c r="J985">
        <v>176.59</v>
      </c>
      <c r="K985" t="s">
        <v>330</v>
      </c>
      <c r="L985" t="s">
        <v>270</v>
      </c>
      <c r="M985" t="s">
        <v>45</v>
      </c>
      <c r="N985">
        <v>168.18</v>
      </c>
      <c r="O985">
        <v>4.7618999999999998</v>
      </c>
      <c r="P985">
        <v>8.41</v>
      </c>
      <c r="Q985">
        <v>4.2</v>
      </c>
      <c r="R985" s="8">
        <f t="shared" si="15"/>
        <v>43493</v>
      </c>
    </row>
    <row r="986" spans="1:18" x14ac:dyDescent="0.35">
      <c r="A986" t="s">
        <v>1241</v>
      </c>
      <c r="B986" t="s">
        <v>68</v>
      </c>
      <c r="C986" t="s">
        <v>69</v>
      </c>
      <c r="D986" t="s">
        <v>20</v>
      </c>
      <c r="E986" t="s">
        <v>21</v>
      </c>
      <c r="F986" t="s">
        <v>61</v>
      </c>
      <c r="G986">
        <v>34.630000000000003</v>
      </c>
      <c r="H986">
        <v>4</v>
      </c>
      <c r="I986">
        <v>6.93</v>
      </c>
      <c r="J986">
        <v>145.44999999999999</v>
      </c>
      <c r="K986" t="s">
        <v>96</v>
      </c>
      <c r="L986" t="s">
        <v>246</v>
      </c>
      <c r="M986" t="s">
        <v>25</v>
      </c>
      <c r="N986">
        <v>138.52000000000001</v>
      </c>
      <c r="O986">
        <v>4.7618999999999998</v>
      </c>
      <c r="P986">
        <v>6.93</v>
      </c>
      <c r="Q986">
        <v>7.9</v>
      </c>
      <c r="R986" s="8">
        <f t="shared" si="15"/>
        <v>43477</v>
      </c>
    </row>
    <row r="987" spans="1:18" x14ac:dyDescent="0.35">
      <c r="A987" t="s">
        <v>1242</v>
      </c>
      <c r="B987" t="s">
        <v>18</v>
      </c>
      <c r="C987" t="s">
        <v>19</v>
      </c>
      <c r="D987" t="s">
        <v>27</v>
      </c>
      <c r="E987" t="s">
        <v>42</v>
      </c>
      <c r="F987" t="s">
        <v>50</v>
      </c>
      <c r="G987">
        <v>95.17</v>
      </c>
      <c r="H987">
        <v>4</v>
      </c>
      <c r="I987">
        <v>19.03</v>
      </c>
      <c r="J987">
        <v>399.71</v>
      </c>
      <c r="K987" t="s">
        <v>179</v>
      </c>
      <c r="L987" t="s">
        <v>148</v>
      </c>
      <c r="M987" t="s">
        <v>25</v>
      </c>
      <c r="N987">
        <v>380.68</v>
      </c>
      <c r="O987">
        <v>4.7618999999999998</v>
      </c>
      <c r="P987">
        <v>19.03</v>
      </c>
      <c r="Q987">
        <v>9.1</v>
      </c>
      <c r="R987" s="8">
        <f t="shared" si="15"/>
        <v>43498</v>
      </c>
    </row>
    <row r="988" spans="1:18" x14ac:dyDescent="0.35">
      <c r="A988" t="s">
        <v>1243</v>
      </c>
      <c r="B988" t="s">
        <v>37</v>
      </c>
      <c r="C988" t="s">
        <v>38</v>
      </c>
      <c r="D988" t="s">
        <v>27</v>
      </c>
      <c r="E988" t="s">
        <v>21</v>
      </c>
      <c r="F988" t="s">
        <v>50</v>
      </c>
      <c r="G988">
        <v>81.38</v>
      </c>
      <c r="H988">
        <v>10</v>
      </c>
      <c r="I988">
        <v>40.69</v>
      </c>
      <c r="J988">
        <v>854.49</v>
      </c>
      <c r="K988" t="s">
        <v>75</v>
      </c>
      <c r="L988" t="s">
        <v>148</v>
      </c>
      <c r="M988" t="s">
        <v>25</v>
      </c>
      <c r="N988">
        <v>813.8</v>
      </c>
      <c r="O988">
        <v>4.7618999999999998</v>
      </c>
      <c r="P988">
        <v>40.69</v>
      </c>
      <c r="Q988">
        <v>6.9</v>
      </c>
      <c r="R988" s="8">
        <f t="shared" si="15"/>
        <v>43505</v>
      </c>
    </row>
    <row r="989" spans="1:18" x14ac:dyDescent="0.35">
      <c r="A989" t="s">
        <v>1244</v>
      </c>
      <c r="B989" t="s">
        <v>37</v>
      </c>
      <c r="C989" t="s">
        <v>38</v>
      </c>
      <c r="D989" t="s">
        <v>27</v>
      </c>
      <c r="E989" t="s">
        <v>42</v>
      </c>
      <c r="F989" t="s">
        <v>50</v>
      </c>
      <c r="G989">
        <v>19.68</v>
      </c>
      <c r="H989">
        <v>7</v>
      </c>
      <c r="I989">
        <v>6.89</v>
      </c>
      <c r="J989">
        <v>144.65</v>
      </c>
      <c r="K989" t="s">
        <v>482</v>
      </c>
      <c r="L989" t="s">
        <v>348</v>
      </c>
      <c r="M989" t="s">
        <v>35</v>
      </c>
      <c r="N989">
        <v>137.76</v>
      </c>
      <c r="O989">
        <v>4.7618999999999998</v>
      </c>
      <c r="P989">
        <v>6.89</v>
      </c>
      <c r="Q989">
        <v>6.2</v>
      </c>
      <c r="R989" s="8">
        <f t="shared" si="15"/>
        <v>43520</v>
      </c>
    </row>
    <row r="990" spans="1:18" x14ac:dyDescent="0.35">
      <c r="A990" t="s">
        <v>1245</v>
      </c>
      <c r="B990" t="s">
        <v>68</v>
      </c>
      <c r="C990" t="s">
        <v>69</v>
      </c>
      <c r="D990" t="s">
        <v>27</v>
      </c>
      <c r="E990" t="s">
        <v>21</v>
      </c>
      <c r="F990" t="s">
        <v>28</v>
      </c>
      <c r="G990">
        <v>96.23</v>
      </c>
      <c r="H990">
        <v>5</v>
      </c>
      <c r="I990">
        <v>24.06</v>
      </c>
      <c r="J990">
        <v>505.21</v>
      </c>
      <c r="K990" t="s">
        <v>82</v>
      </c>
      <c r="L990" t="s">
        <v>52</v>
      </c>
      <c r="M990" t="s">
        <v>25</v>
      </c>
      <c r="N990">
        <v>481.15</v>
      </c>
      <c r="O990">
        <v>4.7618999999999998</v>
      </c>
      <c r="P990">
        <v>24.06</v>
      </c>
      <c r="Q990">
        <v>9</v>
      </c>
      <c r="R990" s="8">
        <f t="shared" si="15"/>
        <v>43541</v>
      </c>
    </row>
    <row r="991" spans="1:18" x14ac:dyDescent="0.35">
      <c r="A991" t="s">
        <v>1246</v>
      </c>
      <c r="B991" t="s">
        <v>18</v>
      </c>
      <c r="C991" t="s">
        <v>19</v>
      </c>
      <c r="D991" t="s">
        <v>27</v>
      </c>
      <c r="E991" t="s">
        <v>42</v>
      </c>
      <c r="F991" t="s">
        <v>28</v>
      </c>
      <c r="G991">
        <v>20.32</v>
      </c>
      <c r="H991">
        <v>6</v>
      </c>
      <c r="I991">
        <v>6.1</v>
      </c>
      <c r="J991">
        <v>128.02000000000001</v>
      </c>
      <c r="K991" t="s">
        <v>482</v>
      </c>
      <c r="L991" t="s">
        <v>591</v>
      </c>
      <c r="M991" t="s">
        <v>45</v>
      </c>
      <c r="N991">
        <v>121.92</v>
      </c>
      <c r="O991">
        <v>4.7618999999999998</v>
      </c>
      <c r="P991">
        <v>6.1</v>
      </c>
      <c r="Q991">
        <v>4.4000000000000004</v>
      </c>
      <c r="R991" s="8">
        <f>DATEVALUE(K991)</f>
        <v>43520</v>
      </c>
    </row>
    <row r="992" spans="1:18" x14ac:dyDescent="0.35">
      <c r="A992" t="s">
        <v>1247</v>
      </c>
      <c r="B992" t="s">
        <v>37</v>
      </c>
      <c r="C992" t="s">
        <v>38</v>
      </c>
      <c r="D992" t="s">
        <v>27</v>
      </c>
      <c r="E992" t="s">
        <v>21</v>
      </c>
      <c r="F992" t="s">
        <v>61</v>
      </c>
      <c r="G992">
        <v>21.01</v>
      </c>
      <c r="H992">
        <v>6</v>
      </c>
      <c r="I992">
        <v>6.3</v>
      </c>
      <c r="J992">
        <v>132.36000000000001</v>
      </c>
      <c r="K992" t="s">
        <v>470</v>
      </c>
      <c r="L992" t="s">
        <v>507</v>
      </c>
      <c r="M992" t="s">
        <v>35</v>
      </c>
      <c r="N992">
        <v>126.06</v>
      </c>
      <c r="O992">
        <v>4.7618999999999998</v>
      </c>
      <c r="P992">
        <v>6.3</v>
      </c>
      <c r="Q992">
        <v>5.3</v>
      </c>
      <c r="R992" s="8">
        <f t="shared" ref="R992:R1001" si="16">DATEVALUE(K992)</f>
        <v>43554</v>
      </c>
    </row>
    <row r="993" spans="1:18" x14ac:dyDescent="0.35">
      <c r="A993" t="s">
        <v>1248</v>
      </c>
      <c r="B993" t="s">
        <v>37</v>
      </c>
      <c r="C993" t="s">
        <v>38</v>
      </c>
      <c r="D993" t="s">
        <v>20</v>
      </c>
      <c r="E993" t="s">
        <v>21</v>
      </c>
      <c r="F993" t="s">
        <v>32</v>
      </c>
      <c r="G993">
        <v>35.53</v>
      </c>
      <c r="H993">
        <v>4</v>
      </c>
      <c r="I993">
        <v>7.11</v>
      </c>
      <c r="J993">
        <v>149.22999999999999</v>
      </c>
      <c r="K993" t="s">
        <v>332</v>
      </c>
      <c r="L993" t="s">
        <v>212</v>
      </c>
      <c r="M993" t="s">
        <v>25</v>
      </c>
      <c r="N993">
        <v>142.12</v>
      </c>
      <c r="O993">
        <v>4.7618999999999998</v>
      </c>
      <c r="P993">
        <v>7.11</v>
      </c>
      <c r="Q993">
        <v>5.7</v>
      </c>
      <c r="R993" s="8">
        <f t="shared" si="16"/>
        <v>43533</v>
      </c>
    </row>
    <row r="994" spans="1:18" x14ac:dyDescent="0.35">
      <c r="A994" t="s">
        <v>1249</v>
      </c>
      <c r="B994" t="s">
        <v>18</v>
      </c>
      <c r="C994" t="s">
        <v>19</v>
      </c>
      <c r="D994" t="s">
        <v>20</v>
      </c>
      <c r="E994" t="s">
        <v>42</v>
      </c>
      <c r="F994" t="s">
        <v>22</v>
      </c>
      <c r="G994">
        <v>78.06</v>
      </c>
      <c r="H994">
        <v>6</v>
      </c>
      <c r="I994">
        <v>23.42</v>
      </c>
      <c r="J994">
        <v>491.78</v>
      </c>
      <c r="K994" t="s">
        <v>251</v>
      </c>
      <c r="L994" t="s">
        <v>575</v>
      </c>
      <c r="M994" t="s">
        <v>45</v>
      </c>
      <c r="N994">
        <v>468.36</v>
      </c>
      <c r="O994">
        <v>4.7618999999999998</v>
      </c>
      <c r="P994">
        <v>23.42</v>
      </c>
      <c r="Q994">
        <v>8.8000000000000007</v>
      </c>
      <c r="R994" s="8">
        <f t="shared" si="16"/>
        <v>43506</v>
      </c>
    </row>
    <row r="995" spans="1:18" x14ac:dyDescent="0.35">
      <c r="A995" t="s">
        <v>1250</v>
      </c>
      <c r="B995" t="s">
        <v>68</v>
      </c>
      <c r="C995" t="s">
        <v>69</v>
      </c>
      <c r="D995" t="s">
        <v>27</v>
      </c>
      <c r="E995" t="s">
        <v>42</v>
      </c>
      <c r="F995" t="s">
        <v>28</v>
      </c>
      <c r="G995">
        <v>21.17</v>
      </c>
      <c r="H995">
        <v>3</v>
      </c>
      <c r="I995">
        <v>3.18</v>
      </c>
      <c r="J995">
        <v>66.69</v>
      </c>
      <c r="K995" t="s">
        <v>65</v>
      </c>
      <c r="L995" t="s">
        <v>261</v>
      </c>
      <c r="M995" t="s">
        <v>35</v>
      </c>
      <c r="N995">
        <v>63.51</v>
      </c>
      <c r="O995">
        <v>4.7618999999999998</v>
      </c>
      <c r="P995">
        <v>3.18</v>
      </c>
      <c r="Q995">
        <v>5.4</v>
      </c>
      <c r="R995" s="8">
        <f t="shared" si="16"/>
        <v>43542</v>
      </c>
    </row>
    <row r="996" spans="1:18" x14ac:dyDescent="0.35">
      <c r="A996" t="s">
        <v>1251</v>
      </c>
      <c r="B996" t="s">
        <v>37</v>
      </c>
      <c r="C996" t="s">
        <v>38</v>
      </c>
      <c r="D996" t="s">
        <v>20</v>
      </c>
      <c r="E996" t="s">
        <v>21</v>
      </c>
      <c r="F996" t="s">
        <v>32</v>
      </c>
      <c r="G996">
        <v>35.590000000000003</v>
      </c>
      <c r="H996">
        <v>7</v>
      </c>
      <c r="I996">
        <v>12.46</v>
      </c>
      <c r="J996">
        <v>261.58999999999997</v>
      </c>
      <c r="K996" t="s">
        <v>231</v>
      </c>
      <c r="L996" t="s">
        <v>243</v>
      </c>
      <c r="M996" t="s">
        <v>45</v>
      </c>
      <c r="N996">
        <v>249.13</v>
      </c>
      <c r="O996">
        <v>4.7618999999999998</v>
      </c>
      <c r="P996">
        <v>12.46</v>
      </c>
      <c r="Q996">
        <v>6</v>
      </c>
      <c r="R996" s="8">
        <f t="shared" si="16"/>
        <v>43470</v>
      </c>
    </row>
    <row r="997" spans="1:18" x14ac:dyDescent="0.35">
      <c r="A997" t="s">
        <v>1252</v>
      </c>
      <c r="B997" t="s">
        <v>68</v>
      </c>
      <c r="C997" t="s">
        <v>69</v>
      </c>
      <c r="D997" t="s">
        <v>27</v>
      </c>
      <c r="E997" t="s">
        <v>21</v>
      </c>
      <c r="F997" t="s">
        <v>32</v>
      </c>
      <c r="G997">
        <v>75.09</v>
      </c>
      <c r="H997">
        <v>5</v>
      </c>
      <c r="I997">
        <v>18.77</v>
      </c>
      <c r="J997">
        <v>394.22</v>
      </c>
      <c r="K997" t="s">
        <v>251</v>
      </c>
      <c r="L997" t="s">
        <v>466</v>
      </c>
      <c r="M997" t="s">
        <v>45</v>
      </c>
      <c r="N997">
        <v>375.45</v>
      </c>
      <c r="O997">
        <v>4.7618999999999998</v>
      </c>
      <c r="P997">
        <v>18.77</v>
      </c>
      <c r="Q997">
        <v>7.3</v>
      </c>
      <c r="R997" s="8">
        <f t="shared" si="16"/>
        <v>43506</v>
      </c>
    </row>
    <row r="998" spans="1:18" x14ac:dyDescent="0.35">
      <c r="A998" t="s">
        <v>1253</v>
      </c>
      <c r="B998" t="s">
        <v>37</v>
      </c>
      <c r="C998" t="s">
        <v>38</v>
      </c>
      <c r="D998" t="s">
        <v>20</v>
      </c>
      <c r="E998" t="s">
        <v>42</v>
      </c>
      <c r="F998" t="s">
        <v>61</v>
      </c>
      <c r="G998">
        <v>72.680000000000007</v>
      </c>
      <c r="H998">
        <v>8</v>
      </c>
      <c r="I998">
        <v>29.07</v>
      </c>
      <c r="J998">
        <v>610.51</v>
      </c>
      <c r="K998" t="s">
        <v>521</v>
      </c>
      <c r="L998" t="s">
        <v>473</v>
      </c>
      <c r="M998" t="s">
        <v>35</v>
      </c>
      <c r="N998">
        <v>581.44000000000005</v>
      </c>
      <c r="O998">
        <v>4.7618999999999998</v>
      </c>
      <c r="P998">
        <v>29.07</v>
      </c>
      <c r="Q998">
        <v>9.6</v>
      </c>
      <c r="R998" s="8">
        <f t="shared" si="16"/>
        <v>43529</v>
      </c>
    </row>
    <row r="999" spans="1:18" x14ac:dyDescent="0.35">
      <c r="A999" t="s">
        <v>1254</v>
      </c>
      <c r="B999" t="s">
        <v>68</v>
      </c>
      <c r="C999" t="s">
        <v>69</v>
      </c>
      <c r="D999" t="s">
        <v>20</v>
      </c>
      <c r="E999" t="s">
        <v>21</v>
      </c>
      <c r="F999" t="s">
        <v>28</v>
      </c>
      <c r="G999">
        <v>22.49</v>
      </c>
      <c r="H999">
        <v>6</v>
      </c>
      <c r="I999">
        <v>6.75</v>
      </c>
      <c r="J999">
        <v>141.69</v>
      </c>
      <c r="K999" t="s">
        <v>470</v>
      </c>
      <c r="L999" t="s">
        <v>384</v>
      </c>
      <c r="M999" t="s">
        <v>45</v>
      </c>
      <c r="N999">
        <v>134.94</v>
      </c>
      <c r="O999">
        <v>4.7618999999999998</v>
      </c>
      <c r="P999">
        <v>6.75</v>
      </c>
      <c r="Q999">
        <v>4.5</v>
      </c>
      <c r="R999" s="8">
        <f t="shared" si="16"/>
        <v>43554</v>
      </c>
    </row>
    <row r="1000" spans="1:18" x14ac:dyDescent="0.35">
      <c r="A1000" t="s">
        <v>1255</v>
      </c>
      <c r="B1000" t="s">
        <v>37</v>
      </c>
      <c r="C1000" t="s">
        <v>38</v>
      </c>
      <c r="D1000" t="s">
        <v>20</v>
      </c>
      <c r="E1000" t="s">
        <v>21</v>
      </c>
      <c r="F1000" t="s">
        <v>61</v>
      </c>
      <c r="G1000">
        <v>89.5</v>
      </c>
      <c r="H1000">
        <v>1</v>
      </c>
      <c r="I1000">
        <v>4.4800000000000004</v>
      </c>
      <c r="J1000">
        <v>93.98</v>
      </c>
      <c r="K1000" t="s">
        <v>209</v>
      </c>
      <c r="L1000" t="s">
        <v>125</v>
      </c>
      <c r="M1000" t="s">
        <v>45</v>
      </c>
      <c r="N1000">
        <v>89.5</v>
      </c>
      <c r="O1000">
        <v>4.7618999999999998</v>
      </c>
      <c r="P1000">
        <v>4.4800000000000004</v>
      </c>
      <c r="Q1000">
        <v>5.6</v>
      </c>
      <c r="R1000" s="8">
        <f t="shared" si="16"/>
        <v>43480</v>
      </c>
    </row>
    <row r="1001" spans="1:18" x14ac:dyDescent="0.35">
      <c r="A1001" t="s">
        <v>1256</v>
      </c>
      <c r="B1001" t="s">
        <v>18</v>
      </c>
      <c r="C1001" t="s">
        <v>19</v>
      </c>
      <c r="D1001" t="s">
        <v>27</v>
      </c>
      <c r="E1001" t="s">
        <v>42</v>
      </c>
      <c r="F1001" t="s">
        <v>22</v>
      </c>
      <c r="G1001">
        <v>25.33</v>
      </c>
      <c r="H1001">
        <v>3</v>
      </c>
      <c r="I1001">
        <v>3.8</v>
      </c>
      <c r="J1001">
        <v>79.790000000000006</v>
      </c>
      <c r="K1001" t="s">
        <v>102</v>
      </c>
      <c r="L1001" t="s">
        <v>63</v>
      </c>
      <c r="M1001" t="s">
        <v>45</v>
      </c>
      <c r="N1001">
        <v>75.989999999999995</v>
      </c>
      <c r="O1001">
        <v>4.7618999999999998</v>
      </c>
      <c r="P1001">
        <v>3.8</v>
      </c>
      <c r="Q1001">
        <v>5.9</v>
      </c>
      <c r="R1001" s="8">
        <f t="shared" si="16"/>
        <v>43540</v>
      </c>
    </row>
  </sheetData>
  <autoFilter ref="A1:Q1001" xr:uid="{00000000-0001-0000-0000-000000000000}"/>
  <phoneticPr fontId="3" type="noConversion"/>
  <conditionalFormatting sqref="A1:A1001">
    <cfRule type="duplicateValues" dxfId="1" priority="1"/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5214-7A15-49B3-AE40-139D8451C019}">
  <dimension ref="A1:B7"/>
  <sheetViews>
    <sheetView workbookViewId="0">
      <selection activeCell="B7" sqref="B7"/>
    </sheetView>
  </sheetViews>
  <sheetFormatPr defaultRowHeight="14.5" x14ac:dyDescent="0.35"/>
  <cols>
    <col min="1" max="1" width="15.08984375" bestFit="1" customWidth="1"/>
  </cols>
  <sheetData>
    <row r="1" spans="1:2" x14ac:dyDescent="0.35">
      <c r="A1" t="s">
        <v>1257</v>
      </c>
      <c r="B1" t="s">
        <v>1258</v>
      </c>
    </row>
    <row r="2" spans="1:2" x14ac:dyDescent="0.35">
      <c r="A2" t="s">
        <v>1259</v>
      </c>
      <c r="B2">
        <f>COUNTBLANK('Raw Data'!A2:Q1001)</f>
        <v>0</v>
      </c>
    </row>
    <row r="3" spans="1:2" x14ac:dyDescent="0.35">
      <c r="A3" t="s">
        <v>1260</v>
      </c>
      <c r="B3" cm="1">
        <f t="array" ref="B3">SUMPRODUCT(--(ROUND('Raw Data'!J2:J1001-'Raw Data'!N2:N1001-'Raw Data'!I2:I1001,2)&lt;&gt;0))</f>
        <v>0</v>
      </c>
    </row>
    <row r="6" spans="1:2" x14ac:dyDescent="0.35">
      <c r="B6" t="b">
        <f>ISNUMBER('Raw Data'!K2)</f>
        <v>0</v>
      </c>
    </row>
    <row r="7" spans="1:2" x14ac:dyDescent="0.35">
      <c r="B7" t="b">
        <f>ISNUMBER('Raw Data'!R2)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043-5563-4766-BE62-22E6A71BD22D}">
  <dimension ref="A1:B25"/>
  <sheetViews>
    <sheetView workbookViewId="0">
      <selection activeCell="A22" sqref="A22"/>
    </sheetView>
  </sheetViews>
  <sheetFormatPr defaultRowHeight="14.5" x14ac:dyDescent="0.35"/>
  <cols>
    <col min="1" max="1" width="26.54296875" bestFit="1" customWidth="1"/>
    <col min="2" max="2" width="20.90625" bestFit="1" customWidth="1"/>
  </cols>
  <sheetData>
    <row r="1" spans="1:2" ht="21" x14ac:dyDescent="0.5">
      <c r="A1" s="9" t="s">
        <v>1261</v>
      </c>
      <c r="B1" s="9"/>
    </row>
    <row r="3" spans="1:2" x14ac:dyDescent="0.35">
      <c r="A3" s="2" t="s">
        <v>1262</v>
      </c>
      <c r="B3">
        <f>COUNTA('Raw Data'!A2:A1001)</f>
        <v>1000</v>
      </c>
    </row>
    <row r="4" spans="1:2" x14ac:dyDescent="0.35">
      <c r="A4" s="2" t="s">
        <v>1263</v>
      </c>
      <c r="B4" s="10">
        <f>SUM('Raw Data'!J2:J1001)</f>
        <v>324057.29000000021</v>
      </c>
    </row>
    <row r="5" spans="1:2" x14ac:dyDescent="0.35">
      <c r="A5" s="2" t="s">
        <v>1264</v>
      </c>
      <c r="B5">
        <f>SUM('Raw Data'!H2:H1001)</f>
        <v>5591</v>
      </c>
    </row>
    <row r="6" spans="1:2" x14ac:dyDescent="0.35">
      <c r="A6" s="2" t="s">
        <v>1265</v>
      </c>
      <c r="B6" s="10">
        <f>AVERAGE('Raw Data'!J2:J1001)</f>
        <v>324.05729000000019</v>
      </c>
    </row>
    <row r="7" spans="1:2" x14ac:dyDescent="0.35">
      <c r="A7" s="2" t="s">
        <v>1266</v>
      </c>
      <c r="B7" s="11">
        <f>AVERAGE('Raw Data'!Q2:Q1001)</f>
        <v>6.9833999999999863</v>
      </c>
    </row>
    <row r="9" spans="1:2" x14ac:dyDescent="0.35">
      <c r="A9" s="12" t="s">
        <v>1271</v>
      </c>
    </row>
    <row r="10" spans="1:2" x14ac:dyDescent="0.35">
      <c r="A10" s="2" t="s">
        <v>1272</v>
      </c>
      <c r="B10" t="s">
        <v>1275</v>
      </c>
    </row>
    <row r="11" spans="1:2" x14ac:dyDescent="0.35">
      <c r="A11" s="2" t="s">
        <v>1273</v>
      </c>
      <c r="B11" t="s">
        <v>50</v>
      </c>
    </row>
    <row r="12" spans="1:2" x14ac:dyDescent="0.35">
      <c r="A12" s="2" t="s">
        <v>1274</v>
      </c>
      <c r="B12" t="s">
        <v>28</v>
      </c>
    </row>
    <row r="14" spans="1:2" x14ac:dyDescent="0.35">
      <c r="A14" s="12" t="s">
        <v>1277</v>
      </c>
    </row>
    <row r="15" spans="1:2" x14ac:dyDescent="0.35">
      <c r="A15" s="2" t="s">
        <v>1278</v>
      </c>
      <c r="B15" t="s">
        <v>1281</v>
      </c>
    </row>
    <row r="16" spans="1:2" x14ac:dyDescent="0.35">
      <c r="A16" s="2" t="s">
        <v>1279</v>
      </c>
      <c r="B16" t="s">
        <v>45</v>
      </c>
    </row>
    <row r="18" spans="1:2" x14ac:dyDescent="0.35">
      <c r="A18" s="12" t="s">
        <v>1282</v>
      </c>
    </row>
    <row r="19" spans="1:2" x14ac:dyDescent="0.35">
      <c r="A19" s="2" t="s">
        <v>1283</v>
      </c>
      <c r="B19" t="s">
        <v>27</v>
      </c>
    </row>
    <row r="20" spans="1:2" x14ac:dyDescent="0.35">
      <c r="A20" s="2" t="s">
        <v>1284</v>
      </c>
      <c r="B20" t="s">
        <v>20</v>
      </c>
    </row>
    <row r="22" spans="1:2" x14ac:dyDescent="0.35">
      <c r="A22" s="12" t="s">
        <v>1290</v>
      </c>
    </row>
    <row r="23" spans="1:2" x14ac:dyDescent="0.35">
      <c r="A23" s="2" t="s">
        <v>1291</v>
      </c>
      <c r="B23" t="s">
        <v>1286</v>
      </c>
    </row>
    <row r="24" spans="1:2" x14ac:dyDescent="0.35">
      <c r="A24" s="2" t="s">
        <v>1292</v>
      </c>
      <c r="B24" t="s">
        <v>1287</v>
      </c>
    </row>
    <row r="25" spans="1:2" x14ac:dyDescent="0.35">
      <c r="A25" s="2" t="s">
        <v>1293</v>
      </c>
      <c r="B25" t="s">
        <v>1294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B9B5-BC4D-476E-82E6-5D2374BF41C1}">
  <dimension ref="A3:O7"/>
  <sheetViews>
    <sheetView workbookViewId="0">
      <selection activeCell="O6" sqref="O6"/>
    </sheetView>
  </sheetViews>
  <sheetFormatPr defaultRowHeight="14.5" x14ac:dyDescent="0.35"/>
  <cols>
    <col min="1" max="1" width="12.36328125" bestFit="1" customWidth="1"/>
    <col min="2" max="2" width="11.36328125" bestFit="1" customWidth="1"/>
  </cols>
  <sheetData>
    <row r="3" spans="1:15" x14ac:dyDescent="0.35">
      <c r="A3" s="3" t="s">
        <v>1267</v>
      </c>
      <c r="B3" t="s">
        <v>1269</v>
      </c>
    </row>
    <row r="4" spans="1:15" x14ac:dyDescent="0.35">
      <c r="A4" s="4" t="s">
        <v>37</v>
      </c>
      <c r="B4">
        <v>113188.09</v>
      </c>
    </row>
    <row r="5" spans="1:15" x14ac:dyDescent="0.35">
      <c r="A5" s="4" t="s">
        <v>18</v>
      </c>
      <c r="B5">
        <v>110917.83999999998</v>
      </c>
      <c r="O5">
        <f>MAX(B4:B6)-MIN(B4:B6)</f>
        <v>13236.73000000001</v>
      </c>
    </row>
    <row r="6" spans="1:15" x14ac:dyDescent="0.35">
      <c r="A6" s="4" t="s">
        <v>68</v>
      </c>
      <c r="B6">
        <v>99951.359999999986</v>
      </c>
    </row>
    <row r="7" spans="1:15" x14ac:dyDescent="0.35">
      <c r="A7" s="4" t="s">
        <v>1268</v>
      </c>
      <c r="B7">
        <v>324057.28999999998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51B2-8767-4FCC-AAA5-F50D6E039E56}">
  <dimension ref="A3:B10"/>
  <sheetViews>
    <sheetView workbookViewId="0">
      <selection activeCell="M11" sqref="M11"/>
    </sheetView>
  </sheetViews>
  <sheetFormatPr defaultRowHeight="14.5" x14ac:dyDescent="0.35"/>
  <cols>
    <col min="1" max="1" width="18.90625" bestFit="1" customWidth="1"/>
    <col min="2" max="3" width="11.36328125" bestFit="1" customWidth="1"/>
  </cols>
  <sheetData>
    <row r="3" spans="1:2" x14ac:dyDescent="0.35">
      <c r="A3" s="3" t="s">
        <v>1270</v>
      </c>
      <c r="B3" t="s">
        <v>1269</v>
      </c>
    </row>
    <row r="4" spans="1:2" x14ac:dyDescent="0.35">
      <c r="A4" s="4" t="s">
        <v>22</v>
      </c>
      <c r="B4">
        <v>58398.13</v>
      </c>
    </row>
    <row r="5" spans="1:2" x14ac:dyDescent="0.35">
      <c r="A5" s="4" t="s">
        <v>61</v>
      </c>
      <c r="B5">
        <v>57522.559999999998</v>
      </c>
    </row>
    <row r="6" spans="1:2" x14ac:dyDescent="0.35">
      <c r="A6" s="4" t="s">
        <v>28</v>
      </c>
      <c r="B6">
        <v>55650.91</v>
      </c>
    </row>
    <row r="7" spans="1:2" x14ac:dyDescent="0.35">
      <c r="A7" s="4" t="s">
        <v>32</v>
      </c>
      <c r="B7">
        <v>52238.800000000017</v>
      </c>
    </row>
    <row r="8" spans="1:2" x14ac:dyDescent="0.35">
      <c r="A8" s="4" t="s">
        <v>54</v>
      </c>
      <c r="B8">
        <v>51029.119999999981</v>
      </c>
    </row>
    <row r="9" spans="1:2" x14ac:dyDescent="0.35">
      <c r="A9" s="4" t="s">
        <v>50</v>
      </c>
      <c r="B9">
        <v>49217.770000000033</v>
      </c>
    </row>
    <row r="10" spans="1:2" x14ac:dyDescent="0.35">
      <c r="A10" s="4" t="s">
        <v>1268</v>
      </c>
      <c r="B10">
        <v>324057.29000000004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42AE-CB7C-4580-9DB8-5840C03A26C3}">
  <dimension ref="A3:C7"/>
  <sheetViews>
    <sheetView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16.81640625" bestFit="1" customWidth="1"/>
    <col min="3" max="3" width="10" bestFit="1" customWidth="1"/>
  </cols>
  <sheetData>
    <row r="3" spans="1:3" x14ac:dyDescent="0.35">
      <c r="A3" s="3" t="s">
        <v>1267</v>
      </c>
      <c r="B3" t="s">
        <v>1276</v>
      </c>
      <c r="C3" t="s">
        <v>1280</v>
      </c>
    </row>
    <row r="4" spans="1:3" x14ac:dyDescent="0.35">
      <c r="A4" s="4" t="s">
        <v>45</v>
      </c>
      <c r="B4">
        <v>306</v>
      </c>
      <c r="C4" s="6">
        <f>B4/1000</f>
        <v>0.30599999999999999</v>
      </c>
    </row>
    <row r="5" spans="1:3" x14ac:dyDescent="0.35">
      <c r="A5" s="4" t="s">
        <v>35</v>
      </c>
      <c r="B5">
        <v>360</v>
      </c>
      <c r="C5" s="6">
        <f t="shared" ref="C5:C6" si="0">B5/1000</f>
        <v>0.36</v>
      </c>
    </row>
    <row r="6" spans="1:3" x14ac:dyDescent="0.35">
      <c r="A6" s="4" t="s">
        <v>25</v>
      </c>
      <c r="B6">
        <v>334</v>
      </c>
      <c r="C6" s="6">
        <f t="shared" si="0"/>
        <v>0.33400000000000002</v>
      </c>
    </row>
    <row r="7" spans="1:3" x14ac:dyDescent="0.35">
      <c r="A7" s="4" t="s">
        <v>1268</v>
      </c>
      <c r="B7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1A6A-2B73-4D90-A973-DD55B94FA5C8}">
  <dimension ref="A3:B6"/>
  <sheetViews>
    <sheetView workbookViewId="0">
      <selection activeCell="L8" sqref="L8"/>
    </sheetView>
  </sheetViews>
  <sheetFormatPr defaultRowHeight="14.5" x14ac:dyDescent="0.35"/>
  <cols>
    <col min="1" max="1" width="12.36328125" bestFit="1" customWidth="1"/>
    <col min="2" max="2" width="11.36328125" bestFit="1" customWidth="1"/>
  </cols>
  <sheetData>
    <row r="3" spans="1:2" x14ac:dyDescent="0.35">
      <c r="A3" s="3" t="s">
        <v>1267</v>
      </c>
      <c r="B3" t="s">
        <v>1269</v>
      </c>
    </row>
    <row r="4" spans="1:2" x14ac:dyDescent="0.35">
      <c r="A4" s="4" t="s">
        <v>20</v>
      </c>
      <c r="B4">
        <v>159230.63000000015</v>
      </c>
    </row>
    <row r="5" spans="1:2" x14ac:dyDescent="0.35">
      <c r="A5" s="4" t="s">
        <v>27</v>
      </c>
      <c r="B5">
        <v>164826.66</v>
      </c>
    </row>
    <row r="6" spans="1:2" x14ac:dyDescent="0.35">
      <c r="A6" s="4" t="s">
        <v>1268</v>
      </c>
      <c r="B6">
        <v>324057.29000000015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509B-C71E-445E-B4F5-817CF01333E8}">
  <dimension ref="A3:B8"/>
  <sheetViews>
    <sheetView tabSelected="1"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11.36328125" bestFit="1" customWidth="1"/>
  </cols>
  <sheetData>
    <row r="3" spans="1:2" x14ac:dyDescent="0.35">
      <c r="A3" s="3" t="s">
        <v>1267</v>
      </c>
      <c r="B3" t="s">
        <v>1269</v>
      </c>
    </row>
    <row r="4" spans="1:2" x14ac:dyDescent="0.35">
      <c r="A4" s="4" t="s">
        <v>1289</v>
      </c>
      <c r="B4">
        <v>324057.29000000004</v>
      </c>
    </row>
    <row r="5" spans="1:2" x14ac:dyDescent="0.35">
      <c r="A5" s="5" t="s">
        <v>1286</v>
      </c>
      <c r="B5">
        <v>120704.33999999997</v>
      </c>
    </row>
    <row r="6" spans="1:2" x14ac:dyDescent="0.35">
      <c r="A6" s="5" t="s">
        <v>1287</v>
      </c>
      <c r="B6">
        <v>100161.43000000004</v>
      </c>
    </row>
    <row r="7" spans="1:2" x14ac:dyDescent="0.35">
      <c r="A7" s="5" t="s">
        <v>1288</v>
      </c>
      <c r="B7">
        <v>103191.52</v>
      </c>
    </row>
    <row r="8" spans="1:2" x14ac:dyDescent="0.35">
      <c r="A8" s="4" t="s">
        <v>1268</v>
      </c>
      <c r="B8">
        <v>324057.29000000004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Data Checks</vt:lpstr>
      <vt:lpstr>Sales Analysis</vt:lpstr>
      <vt:lpstr>Branch Analysis</vt:lpstr>
      <vt:lpstr>Product Analysis</vt:lpstr>
      <vt:lpstr>Payment analysis</vt:lpstr>
      <vt:lpstr>Customer analysis</vt:lpstr>
      <vt:lpstr>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Arti Kour</cp:lastModifiedBy>
  <dcterms:created xsi:type="dcterms:W3CDTF">2026-10-18T16:58:55Z</dcterms:created>
  <dcterms:modified xsi:type="dcterms:W3CDTF">2026-10-20T09:57:29Z</dcterms:modified>
</cp:coreProperties>
</file>